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 Database" sheetId="1" state="visible" r:id="rId3"/>
    <sheet name="Status Tracker" sheetId="2" state="visible" r:id="rId4"/>
    <sheet name="Interview Log" sheetId="3" state="visible" r:id="rId5"/>
    <sheet name="Recruiter Metric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<sst xmlns="http://schemas.openxmlformats.org/spreadsheetml/2006/main" count="579" uniqueCount="250">
  <si>
    <t xml:space="preserve">🗂  HireTrack — Candidate Database</t>
  </si>
  <si>
    <t xml:space="preserve">Candidate ID</t>
  </si>
  <si>
    <t xml:space="preserve">Full Name</t>
  </si>
  <si>
    <t xml:space="preserve">Email</t>
  </si>
  <si>
    <t xml:space="preserve">Phone</t>
  </si>
  <si>
    <t xml:space="preserve">Position Applied</t>
  </si>
  <si>
    <t xml:space="preserve">Source</t>
  </si>
  <si>
    <t xml:space="preserve">Application Date</t>
  </si>
  <si>
    <t xml:space="preserve">Current Stage</t>
  </si>
  <si>
    <t xml:space="preserve">Recruiter Assigned</t>
  </si>
  <si>
    <t xml:space="preserve">Resume Link</t>
  </si>
  <si>
    <t xml:space="preserve">Skills</t>
  </si>
  <si>
    <t xml:space="preserve">Expected CTC (₹)</t>
  </si>
  <si>
    <t xml:space="preserve">Notice Period (Days)</t>
  </si>
  <si>
    <t xml:space="preserve">Remarks</t>
  </si>
  <si>
    <t xml:space="preserve">CAN-1001</t>
  </si>
  <si>
    <t xml:space="preserve">Aarav Mehta</t>
  </si>
  <si>
    <t xml:space="preserve">aarav.m@email.com</t>
  </si>
  <si>
    <t xml:space="preserve">9812340001</t>
  </si>
  <si>
    <t xml:space="preserve">Marketing Intern</t>
  </si>
  <si>
    <t xml:space="preserve">LinkedIn</t>
  </si>
  <si>
    <t xml:space="preserve">2025-01-05</t>
  </si>
  <si>
    <t xml:space="preserve">Joined</t>
  </si>
  <si>
    <t xml:space="preserve">Priya Sharma</t>
  </si>
  <si>
    <t xml:space="preserve">https://drive.google.com/resume_1001</t>
  </si>
  <si>
    <t xml:space="preserve">Excel, PowerPoint, Canva</t>
  </si>
  <si>
    <t xml:space="preserve">CAN-1002</t>
  </si>
  <si>
    <t xml:space="preserve">Sneha Rao</t>
  </si>
  <si>
    <t xml:space="preserve">sneha.r@email.com</t>
  </si>
  <si>
    <t xml:space="preserve">9812340002</t>
  </si>
  <si>
    <t xml:space="preserve">Data Analyst Intern</t>
  </si>
  <si>
    <t xml:space="preserve">Internshala</t>
  </si>
  <si>
    <t xml:space="preserve">2025-01-08</t>
  </si>
  <si>
    <t xml:space="preserve">HR Round</t>
  </si>
  <si>
    <t xml:space="preserve">Rahul Gupta</t>
  </si>
  <si>
    <t xml:space="preserve">https://drive.google.com/resume_1002</t>
  </si>
  <si>
    <t xml:space="preserve">Python, SQL, Tableau</t>
  </si>
  <si>
    <t xml:space="preserve">CAN-1003</t>
  </si>
  <si>
    <t xml:space="preserve">Karan Singh</t>
  </si>
  <si>
    <t xml:space="preserve">karan.s@email.com</t>
  </si>
  <si>
    <t xml:space="preserve">9812340003</t>
  </si>
  <si>
    <t xml:space="preserve">UI/UX Intern</t>
  </si>
  <si>
    <t xml:space="preserve">Referral</t>
  </si>
  <si>
    <t xml:space="preserve">2025-01-10</t>
  </si>
  <si>
    <t xml:space="preserve">Offer Extended</t>
  </si>
  <si>
    <t xml:space="preserve">https://drive.google.com/resume_1003</t>
  </si>
  <si>
    <t xml:space="preserve">Figma, Adobe XD, Sketch</t>
  </si>
  <si>
    <t xml:space="preserve">CAN-1004</t>
  </si>
  <si>
    <t xml:space="preserve">Riya Patel</t>
  </si>
  <si>
    <t xml:space="preserve">riya.p@email.com</t>
  </si>
  <si>
    <t xml:space="preserve">9812340004</t>
  </si>
  <si>
    <t xml:space="preserve">Content Writer</t>
  </si>
  <si>
    <t xml:space="preserve">2025-01-12</t>
  </si>
  <si>
    <t xml:space="preserve">Rejected</t>
  </si>
  <si>
    <t xml:space="preserve">Anjali Verma</t>
  </si>
  <si>
    <t xml:space="preserve">https://drive.google.com/resume_1004</t>
  </si>
  <si>
    <t xml:space="preserve">SEO, Copywriting, WordPress</t>
  </si>
  <si>
    <t xml:space="preserve">CAN-1005</t>
  </si>
  <si>
    <t xml:space="preserve">Arjun Nair</t>
  </si>
  <si>
    <t xml:space="preserve">arjun.n@email.com</t>
  </si>
  <si>
    <t xml:space="preserve">9812340005</t>
  </si>
  <si>
    <t xml:space="preserve">Software Dev Intern</t>
  </si>
  <si>
    <t xml:space="preserve">Campus Drive</t>
  </si>
  <si>
    <t xml:space="preserve">2025-01-15</t>
  </si>
  <si>
    <t xml:space="preserve">Final Round</t>
  </si>
  <si>
    <t xml:space="preserve">https://drive.google.com/resume_1005</t>
  </si>
  <si>
    <t xml:space="preserve">Java, React, Git</t>
  </si>
  <si>
    <t xml:space="preserve">CAN-1006</t>
  </si>
  <si>
    <t xml:space="preserve">Meera Joshi</t>
  </si>
  <si>
    <t xml:space="preserve">meera.j@email.com</t>
  </si>
  <si>
    <t xml:space="preserve">9812340006</t>
  </si>
  <si>
    <t xml:space="preserve">HR Intern</t>
  </si>
  <si>
    <t xml:space="preserve">Naukri</t>
  </si>
  <si>
    <t xml:space="preserve">2025-01-18</t>
  </si>
  <si>
    <t xml:space="preserve">Interview Scheduled</t>
  </si>
  <si>
    <t xml:space="preserve">https://drive.google.com/resume_1006</t>
  </si>
  <si>
    <t xml:space="preserve">HR Policies, Communication</t>
  </si>
  <si>
    <t xml:space="preserve">CAN-1007</t>
  </si>
  <si>
    <t xml:space="preserve">Dev Kapoor</t>
  </si>
  <si>
    <t xml:space="preserve">dev.k@email.com</t>
  </si>
  <si>
    <t xml:space="preserve">9812340007</t>
  </si>
  <si>
    <t xml:space="preserve">Finance Intern</t>
  </si>
  <si>
    <t xml:space="preserve">2025-01-20</t>
  </si>
  <si>
    <t xml:space="preserve">Applied</t>
  </si>
  <si>
    <t xml:space="preserve">https://drive.google.com/resume_1007</t>
  </si>
  <si>
    <t xml:space="preserve">Financial Modeling, Tally</t>
  </si>
  <si>
    <t xml:space="preserve">CAN-1008</t>
  </si>
  <si>
    <t xml:space="preserve">Tanya Bose</t>
  </si>
  <si>
    <t xml:space="preserve">tanya.b@email.com</t>
  </si>
  <si>
    <t xml:space="preserve">9812340008</t>
  </si>
  <si>
    <t xml:space="preserve">2025-01-22</t>
  </si>
  <si>
    <t xml:space="preserve">Phone Screened</t>
  </si>
  <si>
    <t xml:space="preserve">https://drive.google.com/resume_1008</t>
  </si>
  <si>
    <t xml:space="preserve">MS Office, Research</t>
  </si>
  <si>
    <t xml:space="preserve">CAN-1009</t>
  </si>
  <si>
    <t xml:space="preserve">Rohan Iyer</t>
  </si>
  <si>
    <t xml:space="preserve">rohan.i@email.com</t>
  </si>
  <si>
    <t xml:space="preserve">9812340009</t>
  </si>
  <si>
    <t xml:space="preserve">2025-01-25</t>
  </si>
  <si>
    <t xml:space="preserve">Assignment Sent</t>
  </si>
  <si>
    <t xml:space="preserve">https://drive.google.com/resume_1009</t>
  </si>
  <si>
    <t xml:space="preserve">Python, ML, Pandas</t>
  </si>
  <si>
    <t xml:space="preserve">CAN-1010</t>
  </si>
  <si>
    <t xml:space="preserve">Pooja Sharma</t>
  </si>
  <si>
    <t xml:space="preserve">pooja.s@email.com</t>
  </si>
  <si>
    <t xml:space="preserve">9812340010</t>
  </si>
  <si>
    <t xml:space="preserve">2025-02-01</t>
  </si>
  <si>
    <t xml:space="preserve">https://drive.google.com/resume_1010</t>
  </si>
  <si>
    <t xml:space="preserve">Video Editing, Photoshop</t>
  </si>
  <si>
    <t xml:space="preserve">CAN-1011</t>
  </si>
  <si>
    <t xml:space="preserve">Vikram Das</t>
  </si>
  <si>
    <t xml:space="preserve">vikram.d@email.com</t>
  </si>
  <si>
    <t xml:space="preserve">9812340011</t>
  </si>
  <si>
    <t xml:space="preserve">2025-02-03</t>
  </si>
  <si>
    <t xml:space="preserve">https://drive.google.com/resume_1011</t>
  </si>
  <si>
    <t xml:space="preserve">CAN-1012</t>
  </si>
  <si>
    <t xml:space="preserve">Nisha Kulkarni</t>
  </si>
  <si>
    <t xml:space="preserve">nisha.k@email.com</t>
  </si>
  <si>
    <t xml:space="preserve">9812340012</t>
  </si>
  <si>
    <t xml:space="preserve">2025-02-05</t>
  </si>
  <si>
    <t xml:space="preserve">https://drive.google.com/resume_1012</t>
  </si>
  <si>
    <t xml:space="preserve">CAN-1013</t>
  </si>
  <si>
    <t xml:space="preserve">Sahil Agarwal</t>
  </si>
  <si>
    <t xml:space="preserve">sahil.a@email.com</t>
  </si>
  <si>
    <t xml:space="preserve">9812340013</t>
  </si>
  <si>
    <t xml:space="preserve">2025-02-08</t>
  </si>
  <si>
    <t xml:space="preserve">https://drive.google.com/resume_1013</t>
  </si>
  <si>
    <t xml:space="preserve">CAN-1014</t>
  </si>
  <si>
    <t xml:space="preserve">Divya Reddy</t>
  </si>
  <si>
    <t xml:space="preserve">divya.r@email.com</t>
  </si>
  <si>
    <t xml:space="preserve">9812340014</t>
  </si>
  <si>
    <t xml:space="preserve">2025-02-10</t>
  </si>
  <si>
    <t xml:space="preserve">https://drive.google.com/resume_1014</t>
  </si>
  <si>
    <t xml:space="preserve">CAN-1015</t>
  </si>
  <si>
    <t xml:space="preserve">Amit Choudhary</t>
  </si>
  <si>
    <t xml:space="preserve">amit.c@email.com</t>
  </si>
  <si>
    <t xml:space="preserve">9812340015</t>
  </si>
  <si>
    <t xml:space="preserve">2025-02-12</t>
  </si>
  <si>
    <t xml:space="preserve">https://drive.google.com/resume_1015</t>
  </si>
  <si>
    <t xml:space="preserve">CAN-1016</t>
  </si>
  <si>
    <t xml:space="preserve">Komal Saxena</t>
  </si>
  <si>
    <t xml:space="preserve">komal.s@email.com</t>
  </si>
  <si>
    <t xml:space="preserve">9812340016</t>
  </si>
  <si>
    <t xml:space="preserve">2025-02-15</t>
  </si>
  <si>
    <t xml:space="preserve">https://drive.google.com/resume_1016</t>
  </si>
  <si>
    <t xml:space="preserve">CAN-1017</t>
  </si>
  <si>
    <t xml:space="preserve">Nikhil Tiwari</t>
  </si>
  <si>
    <t xml:space="preserve">nikhil.t@email.com</t>
  </si>
  <si>
    <t xml:space="preserve">9812340017</t>
  </si>
  <si>
    <t xml:space="preserve">2025-02-18</t>
  </si>
  <si>
    <t xml:space="preserve">https://drive.google.com/resume_1017</t>
  </si>
  <si>
    <t xml:space="preserve">CAN-1018</t>
  </si>
  <si>
    <t xml:space="preserve">Ananya Bhatt</t>
  </si>
  <si>
    <t xml:space="preserve">ananya.b@email.com</t>
  </si>
  <si>
    <t xml:space="preserve">9812340018</t>
  </si>
  <si>
    <t xml:space="preserve">2025-02-20</t>
  </si>
  <si>
    <t xml:space="preserve">https://drive.google.com/resume_1018</t>
  </si>
  <si>
    <t xml:space="preserve">CAN-1019</t>
  </si>
  <si>
    <t xml:space="preserve">Harsh Mishra</t>
  </si>
  <si>
    <t xml:space="preserve">harsh.m@email.com</t>
  </si>
  <si>
    <t xml:space="preserve">9812340019</t>
  </si>
  <si>
    <t xml:space="preserve">2025-02-22</t>
  </si>
  <si>
    <t xml:space="preserve">https://drive.google.com/resume_1019</t>
  </si>
  <si>
    <t xml:space="preserve">CAN-1020</t>
  </si>
  <si>
    <t xml:space="preserve">Shreya Pandey</t>
  </si>
  <si>
    <t xml:space="preserve">shreya.p@email.com</t>
  </si>
  <si>
    <t xml:space="preserve">9812340020</t>
  </si>
  <si>
    <t xml:space="preserve">2025-02-25</t>
  </si>
  <si>
    <t xml:space="preserve">On Hold</t>
  </si>
  <si>
    <t xml:space="preserve">https://drive.google.com/resume_1020</t>
  </si>
  <si>
    <t xml:space="preserve">📊  HireTrack — Recruitment Pipeline Status Tracker</t>
  </si>
  <si>
    <t xml:space="preserve">Position</t>
  </si>
  <si>
    <t xml:space="preserve">Recruiter</t>
  </si>
  <si>
    <t xml:space="preserve">Screened</t>
  </si>
  <si>
    <t xml:space="preserve">Interview</t>
  </si>
  <si>
    <t xml:space="preserve">Offer</t>
  </si>
  <si>
    <t xml:space="preserve">✓</t>
  </si>
  <si>
    <t xml:space="preserve">📅  HireTrack — Interview Schedule &amp; Feedback Log</t>
  </si>
  <si>
    <t xml:space="preserve">Interview ID</t>
  </si>
  <si>
    <t xml:space="preserve">Candidate Name</t>
  </si>
  <si>
    <t xml:space="preserve">Interview Date</t>
  </si>
  <si>
    <t xml:space="preserve">Time Slot</t>
  </si>
  <si>
    <t xml:space="preserve">Mode</t>
  </si>
  <si>
    <t xml:space="preserve">Interviewer</t>
  </si>
  <si>
    <t xml:space="preserve">Round</t>
  </si>
  <si>
    <t xml:space="preserve">Rating (1-5)</t>
  </si>
  <si>
    <t xml:space="preserve">Outcome</t>
  </si>
  <si>
    <t xml:space="preserve">INT-2001</t>
  </si>
  <si>
    <t xml:space="preserve">10:00 AM</t>
  </si>
  <si>
    <t xml:space="preserve">Video Call</t>
  </si>
  <si>
    <t xml:space="preserve">Round 1</t>
  </si>
  <si>
    <t xml:space="preserve">★★★★☆</t>
  </si>
  <si>
    <t xml:space="preserve">Cleared</t>
  </si>
  <si>
    <t xml:space="preserve">INT-2002</t>
  </si>
  <si>
    <t xml:space="preserve">11:30 AM</t>
  </si>
  <si>
    <t xml:space="preserve">In-Person</t>
  </si>
  <si>
    <t xml:space="preserve">★★★☆☆</t>
  </si>
  <si>
    <t xml:space="preserve">INT-2003</t>
  </si>
  <si>
    <t xml:space="preserve">2025-01-17</t>
  </si>
  <si>
    <t xml:space="preserve">2:00 PM</t>
  </si>
  <si>
    <t xml:space="preserve">★★★★★</t>
  </si>
  <si>
    <t xml:space="preserve">INT-2004</t>
  </si>
  <si>
    <t xml:space="preserve">2025-01-19</t>
  </si>
  <si>
    <t xml:space="preserve">9:00 AM</t>
  </si>
  <si>
    <t xml:space="preserve">★★☆☆☆</t>
  </si>
  <si>
    <t xml:space="preserve">Not Cleared</t>
  </si>
  <si>
    <t xml:space="preserve">INT-2005</t>
  </si>
  <si>
    <t xml:space="preserve">3:30 PM</t>
  </si>
  <si>
    <t xml:space="preserve">Panel</t>
  </si>
  <si>
    <t xml:space="preserve">INT-2006</t>
  </si>
  <si>
    <t xml:space="preserve">2025-01-26</t>
  </si>
  <si>
    <t xml:space="preserve">INT-2007</t>
  </si>
  <si>
    <t xml:space="preserve">2025-02-04</t>
  </si>
  <si>
    <t xml:space="preserve">11:00 AM</t>
  </si>
  <si>
    <t xml:space="preserve">Round 2</t>
  </si>
  <si>
    <t xml:space="preserve">INT-2008</t>
  </si>
  <si>
    <t xml:space="preserve">2025-02-06</t>
  </si>
  <si>
    <t xml:space="preserve">4:00 PM</t>
  </si>
  <si>
    <t xml:space="preserve">INT-2009</t>
  </si>
  <si>
    <t xml:space="preserve">2:30 PM</t>
  </si>
  <si>
    <t xml:space="preserve">INT-2010</t>
  </si>
  <si>
    <t xml:space="preserve">10:30 AM</t>
  </si>
  <si>
    <t xml:space="preserve">INT-2011</t>
  </si>
  <si>
    <t xml:space="preserve">2025-02-14</t>
  </si>
  <si>
    <t xml:space="preserve">1:00 PM</t>
  </si>
  <si>
    <t xml:space="preserve">INT-2012</t>
  </si>
  <si>
    <t xml:space="preserve">3:00 PM</t>
  </si>
  <si>
    <t xml:space="preserve">👤  HireTrack — Recruiter Performance Metrics</t>
  </si>
  <si>
    <t xml:space="preserve">Recruiter Name</t>
  </si>
  <si>
    <t xml:space="preserve">Total Assigned</t>
  </si>
  <si>
    <t xml:space="preserve">Interviews Scheduled</t>
  </si>
  <si>
    <t xml:space="preserve">Offers Made</t>
  </si>
  <si>
    <t xml:space="preserve">Rejection Rate</t>
  </si>
  <si>
    <t xml:space="preserve">Avg. Days to Hire</t>
  </si>
  <si>
    <t xml:space="preserve">TOTAL / AVG</t>
  </si>
  <si>
    <t xml:space="preserve">── KEY PERFORMANCE INDICATORS ──</t>
  </si>
  <si>
    <t xml:space="preserve">🧑  Total Candidates</t>
  </si>
  <si>
    <t xml:space="preserve">📄  Offers Extended</t>
  </si>
  <si>
    <t xml:space="preserve">✅  Joined</t>
  </si>
  <si>
    <t xml:space="preserve">📈  Conversion Rate</t>
  </si>
  <si>
    <t xml:space="preserve">📊  HireTrack — Recruitment Dashboard</t>
  </si>
  <si>
    <t xml:space="preserve">Stage</t>
  </si>
  <si>
    <t xml:space="preserve">Count</t>
  </si>
  <si>
    <t xml:space="preserve">Internship Recruitment Tracking System for Startups  |  Shreya Chopra  |  25BBA149</t>
  </si>
  <si>
    <t xml:space="preserve">PIPELINE SUMMARY</t>
  </si>
  <si>
    <t xml:space="preserve">Total Applications</t>
  </si>
  <si>
    <t xml:space="preserve">Interviews Done</t>
  </si>
  <si>
    <t xml:space="preserve">Conversion %</t>
  </si>
  <si>
    <t xml:space="preserve">Company Website</t>
  </si>
  <si>
    <t xml:space="preserve">Walk-In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</si>
</sst>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sz val="11"/>
      <color rgb="FF2ECC71"/>
      <name val="Arial"/>
      <family val="0"/>
      <charset val="1"/>
    </font>
    <font>
      <sz val="11"/>
      <color rgb="FFF39C12"/>
      <name val="Arial"/>
      <family val="0"/>
      <charset val="1"/>
    </font>
    <font>
      <sz val="11"/>
      <color rgb="FF27AE60"/>
      <name val="Arial"/>
      <family val="0"/>
      <charset val="1"/>
    </font>
    <font>
      <sz val="11"/>
      <color rgb="FFE67E22"/>
      <name val="Arial"/>
      <family val="0"/>
      <charset val="1"/>
    </font>
    <font>
      <sz val="11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A4A6A"/>
      <name val="Arial"/>
      <family val="0"/>
      <charset val="1"/>
    </font>
    <font>
      <b val="true"/>
      <sz val="22"/>
      <color rgb="FF0F3460"/>
      <name val="Arial"/>
      <family val="0"/>
      <charset val="1"/>
    </font>
    <font>
      <b val="true"/>
      <sz val="22"/>
      <color rgb="FF117A65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22"/>
      <color rgb="FF8E44A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AAAACC"/>
      <name val="Arial"/>
      <family val="0"/>
      <charset val="1"/>
    </font>
    <font>
      <b val="true"/>
      <sz val="24"/>
      <color rgb="FF0F3460"/>
      <name val="Arial"/>
      <family val="0"/>
      <charset val="1"/>
    </font>
    <font>
      <b val="true"/>
      <sz val="24"/>
      <color rgb="FF6C3483"/>
      <name val="Arial"/>
      <family val="0"/>
      <charset val="1"/>
    </font>
    <font>
      <b val="true"/>
      <sz val="24"/>
      <color rgb="FF27AE60"/>
      <name val="Arial"/>
      <family val="0"/>
      <charset val="1"/>
    </font>
    <font>
      <b val="true"/>
      <sz val="24"/>
      <color rgb="FF117A65"/>
      <name val="Arial"/>
      <family val="0"/>
      <charset val="1"/>
    </font>
    <font>
      <b val="true"/>
      <sz val="24"/>
      <color rgb="FFE74C3C"/>
      <name val="Arial"/>
      <family val="0"/>
      <charset val="1"/>
    </font>
    <font>
      <b val="true"/>
      <sz val="24"/>
      <color rgb="FFF39C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FFFFFF"/>
        <bgColor rgb="FFF9F9F9"/>
      </patternFill>
    </fill>
    <fill>
      <patternFill patternType="solid">
        <fgColor rgb="FF27AE60"/>
        <bgColor rgb="FF2ECC71"/>
      </patternFill>
    </fill>
    <fill>
      <patternFill patternType="solid">
        <fgColor rgb="FFF0F4FF"/>
        <bgColor rgb="FFF9F9F9"/>
      </patternFill>
    </fill>
    <fill>
      <patternFill patternType="solid">
        <fgColor rgb="FF3498DB"/>
        <bgColor rgb="FF4299B0"/>
      </patternFill>
    </fill>
    <fill>
      <patternFill patternType="solid">
        <fgColor rgb="FF2ECC71"/>
        <bgColor rgb="FF27AE60"/>
      </patternFill>
    </fill>
    <fill>
      <patternFill patternType="solid">
        <fgColor rgb="FFE74C3C"/>
        <bgColor rgb="FFAB4744"/>
      </patternFill>
    </fill>
    <fill>
      <patternFill patternType="solid">
        <fgColor rgb="FF00B4D8"/>
        <bgColor rgb="FF3498DB"/>
      </patternFill>
    </fill>
    <fill>
      <patternFill patternType="solid">
        <fgColor rgb="FF9B59B6"/>
        <bgColor rgb="FF8E44AD"/>
      </patternFill>
    </fill>
    <fill>
      <patternFill patternType="solid">
        <fgColor rgb="FF95A5A6"/>
        <bgColor rgb="FF93A9CE"/>
      </patternFill>
    </fill>
    <fill>
      <patternFill patternType="solid">
        <fgColor rgb="FFF39C12"/>
        <bgColor rgb="FFE67E22"/>
      </patternFill>
    </fill>
    <fill>
      <patternFill patternType="solid">
        <fgColor rgb="FFE67E22"/>
        <bgColor rgb="FFDC853E"/>
      </patternFill>
    </fill>
    <fill>
      <patternFill patternType="solid">
        <fgColor rgb="FFE8F8EE"/>
        <bgColor rgb="FFF0F4FF"/>
      </patternFill>
    </fill>
    <fill>
      <patternFill patternType="solid">
        <fgColor rgb="FF6C3483"/>
        <bgColor rgb="FF8E44AD"/>
      </patternFill>
    </fill>
    <fill>
      <patternFill patternType="solid">
        <fgColor rgb="FF117A65"/>
        <bgColor rgb="FF4672A8"/>
      </patternFill>
    </fill>
    <fill>
      <patternFill patternType="solid">
        <fgColor rgb="FF8E44AD"/>
        <bgColor rgb="FF9B59B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8888AA"/>
      </left>
      <right style="thin">
        <color rgb="FF8888AA"/>
      </right>
      <top style="thin">
        <color rgb="FF8888AA"/>
      </top>
      <bottom style="thin">
        <color rgb="FF8888AA"/>
      </bottom>
      <diagonal/>
    </border>
    <border diagonalUp="false" diagonalDown="false"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 diagonalUp="false" diagonalDown="false"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  <border diagonalUp="false" diagonalDown="false">
      <left style="thin">
        <color rgb="FFCCDDCC"/>
      </left>
      <right style="thin">
        <color rgb="FFCCDDCC"/>
      </right>
      <top style="thin">
        <color rgb="FFCCDDCC"/>
      </top>
      <bottom style="thin">
        <color rgb="FFCCDDCC"/>
      </bottom>
      <diagonal/>
    </border>
    <border diagonalUp="false" diagonalDown="false"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 diagonalUp="false" diagonalDown="false">
      <left style="medium">
        <color rgb="FF0F3460"/>
      </left>
      <right/>
      <top style="medium">
        <color rgb="FF0F3460"/>
      </top>
      <bottom style="medium">
        <color rgb="FF0F3460"/>
      </bottom>
      <diagonal/>
    </border>
    <border diagonalUp="false" diagonalDown="false">
      <left style="medium">
        <color rgb="FF117A65"/>
      </left>
      <right/>
      <top style="medium">
        <color rgb="FF117A65"/>
      </top>
      <bottom style="medium">
        <color rgb="FF117A65"/>
      </bottom>
      <diagonal/>
    </border>
    <border diagonalUp="false" diagonalDown="false">
      <left style="medium">
        <color rgb="FF27AE60"/>
      </left>
      <right/>
      <top style="medium">
        <color rgb="FF27AE60"/>
      </top>
      <bottom style="medium">
        <color rgb="FF27AE60"/>
      </bottom>
      <diagonal/>
    </border>
    <border diagonalUp="false" diagonalDown="false">
      <left style="medium">
        <color rgb="FF8E44AD"/>
      </left>
      <right/>
      <top style="medium">
        <color rgb="FF8E44AD"/>
      </top>
      <bottom style="medium">
        <color rgb="FF8E44AD"/>
      </bottom>
      <diagonal/>
    </border>
    <border diagonalUp="false" diagonalDown="false">
      <left style="medium">
        <color rgb="FF6C3483"/>
      </left>
      <right/>
      <top style="medium">
        <color rgb="FF6C3483"/>
      </top>
      <bottom style="medium">
        <color rgb="FF6C3483"/>
      </bottom>
      <diagonal/>
    </border>
    <border diagonalUp="false" diagonalDown="false">
      <left style="medium">
        <color rgb="FFE74C3C"/>
      </left>
      <right/>
      <top style="medium">
        <color rgb="FFE74C3C"/>
      </top>
      <bottom style="medium">
        <color rgb="FFE74C3C"/>
      </bottom>
      <diagonal/>
    </border>
    <border diagonalUp="false" diagonalDown="false">
      <left style="medium">
        <color rgb="FFF39C12"/>
      </left>
      <right/>
      <top style="medium">
        <color rgb="FFF39C12"/>
      </top>
      <bottom style="medium">
        <color rgb="FFF39C1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4F81BD"/>
      <rgbColor rgb="FF000080"/>
      <rgbColor rgb="FF8AA64F"/>
      <rgbColor rgb="FF8E44AD"/>
      <rgbColor rgb="FF117A65"/>
      <rgbColor rgb="FFAAAACC"/>
      <rgbColor rgb="FF878787"/>
      <rgbColor rgb="FF93A9CE"/>
      <rgbColor rgb="FFAB4744"/>
      <rgbColor rgb="FFF9F9F9"/>
      <rgbColor rgb="FFE8F8EE"/>
      <rgbColor rgb="FF660066"/>
      <rgbColor rgb="FFDC853E"/>
      <rgbColor rgb="FF3498DB"/>
      <rgbColor rgb="FFCCCCDD"/>
      <rgbColor rgb="FF000080"/>
      <rgbColor rgb="FFFF00FF"/>
      <rgbColor rgb="FFFFFF00"/>
      <rgbColor rgb="FF00FFFF"/>
      <rgbColor rgb="FF9B59B6"/>
      <rgbColor rgb="FF800000"/>
      <rgbColor rgb="FF4299B0"/>
      <rgbColor rgb="FF0000FF"/>
      <rgbColor rgb="FF00B4D8"/>
      <rgbColor rgb="FFF0F4FF"/>
      <rgbColor rgb="FFCCDDCC"/>
      <rgbColor rgb="FFFFFF99"/>
      <rgbColor rgb="FFDDDDEE"/>
      <rgbColor rgb="FFD09493"/>
      <rgbColor rgb="FF8888AA"/>
      <rgbColor rgb="FFD9D9D9"/>
      <rgbColor rgb="FF4672A8"/>
      <rgbColor rgb="FF2ECC71"/>
      <rgbColor rgb="FF99CC00"/>
      <rgbColor rgb="FFFFCC00"/>
      <rgbColor rgb="FFF39C12"/>
      <rgbColor rgb="FFE67E22"/>
      <rgbColor rgb="FF725990"/>
      <rgbColor rgb="FF95A5A6"/>
      <rgbColor rgb="FF0F3460"/>
      <rgbColor rgb="FF27AE60"/>
      <rgbColor rgb="FF003300"/>
      <rgbColor rgb="FF333300"/>
      <rgbColor rgb="FFE74C3C"/>
      <rgbColor rgb="FF6C3483"/>
      <rgbColor rgb="FF4A4A6A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Candidates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Dashboard!U1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f34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Dashboard!$T$2:$T$11</c:f>
              <c:strCache>
                <c:ptCount val="10"/>
                <c:pt idx="0">
                  <c:v>Applied</c:v>
                </c:pt>
                <c:pt idx="1">
                  <c:v>Phone Screened</c:v>
                </c:pt>
                <c:pt idx="2">
                  <c:v>Assignment Sent</c:v>
                </c:pt>
                <c:pt idx="3">
                  <c:v>Interview Scheduled</c:v>
                </c:pt>
                <c:pt idx="4">
                  <c:v>HR Round</c:v>
                </c:pt>
                <c:pt idx="5">
                  <c:v>Final Round</c:v>
                </c:pt>
                <c:pt idx="6">
                  <c:v>Offer Extended</c:v>
                </c:pt>
                <c:pt idx="7">
                  <c:v>Joined</c:v>
                </c:pt>
                <c:pt idx="8">
                  <c:v>Rejected</c:v>
                </c:pt>
                <c:pt idx="9">
                  <c:v>On Hold</c:v>
                </c:pt>
              </c:strCache>
            </c:strRef>
          </c:cat>
          <c:val>
            <c:numRef>
              <c:f>Dashboard!$U$2:$U$11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60744395"/>
        <c:axId val="10832263"/>
      </c:barChart>
      <c:catAx>
        <c:axId val="607443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32263"/>
        <c:crosses val="autoZero"/>
        <c:auto val="1"/>
        <c:lblAlgn val="ctr"/>
        <c:lblOffset val="100"/>
        <c:noMultiLvlLbl val="0"/>
      </c:catAx>
      <c:valAx>
        <c:axId val="10832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44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Applications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Dashboard!U13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Dashboard!$T$14:$T$21</c:f>
              <c:strCache>
                <c:ptCount val="8"/>
                <c:pt idx="0">
                  <c:v>LinkedIn</c:v>
                </c:pt>
                <c:pt idx="1">
                  <c:v>Internshala</c:v>
                </c:pt>
                <c:pt idx="2">
                  <c:v>Referral</c:v>
                </c:pt>
                <c:pt idx="3">
                  <c:v>Company Website</c:v>
                </c:pt>
                <c:pt idx="4">
                  <c:v>Email</c:v>
                </c:pt>
                <c:pt idx="5">
                  <c:v>Naukri</c:v>
                </c:pt>
                <c:pt idx="6">
                  <c:v>Campus Drive</c:v>
                </c:pt>
                <c:pt idx="7">
                  <c:v>Walk-In</c:v>
                </c:pt>
              </c:strCache>
            </c:strRef>
          </c:cat>
          <c:val>
            <c:numRef>
              <c:f>Dashboard!$U$14:$U$21</c:f>
              <c:numCache>
                <c:formatCode>General</c:formatCode>
                <c:ptCount val="8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10</xdr:col>
      <xdr:colOff>136080</xdr:colOff>
      <xdr:row>31</xdr:row>
      <xdr:rowOff>128880</xdr:rowOff>
    </xdr:to>
    <xdr:graphicFrame>
      <xdr:nvGraphicFramePr>
        <xdr:cNvPr id="0" name="Chart 1"/>
        <xdr:cNvGraphicFramePr/>
      </xdr:nvGraphicFramePr>
      <xdr:xfrm>
        <a:off x="0" y="2962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17</xdr:col>
      <xdr:colOff>599040</xdr:colOff>
      <xdr:row>31</xdr:row>
      <xdr:rowOff>128880</xdr:rowOff>
    </xdr:to>
    <xdr:graphicFrame>
      <xdr:nvGraphicFramePr>
        <xdr:cNvPr id="1" name="Chart 2"/>
        <xdr:cNvGraphicFramePr/>
      </xdr:nvGraphicFramePr>
      <xdr:xfrm>
        <a:off x="6343560" y="29624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0" min="10" style="0" width="28"/>
    <col collapsed="false" customWidth="true" hidden="false" outlineLevel="0" max="11" min="11" style="0" width="26"/>
    <col collapsed="false" customWidth="true" hidden="false" outlineLevel="0" max="13" min="12" style="0" width="18"/>
    <col collapsed="false" customWidth="true" hidden="false" outlineLevel="0" max="14" min="14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23.8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22</v>
      </c>
      <c r="I3" s="3" t="s">
        <v>23</v>
      </c>
      <c r="J3" s="3" t="s">
        <v>24</v>
      </c>
      <c r="K3" s="3" t="s">
        <v>25</v>
      </c>
      <c r="L3" s="3" t="n">
        <v>8000</v>
      </c>
      <c r="M3" s="3" t="n">
        <v>0</v>
      </c>
      <c r="N3" s="3"/>
    </row>
    <row r="4" customFormat="false" ht="23.8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6" t="s">
        <v>33</v>
      </c>
      <c r="I4" s="5" t="s">
        <v>34</v>
      </c>
      <c r="J4" s="5" t="s">
        <v>35</v>
      </c>
      <c r="K4" s="5" t="s">
        <v>36</v>
      </c>
      <c r="L4" s="5" t="n">
        <v>10000</v>
      </c>
      <c r="M4" s="5" t="n">
        <v>15</v>
      </c>
      <c r="N4" s="5"/>
    </row>
    <row r="5" customFormat="false" ht="23.85" hidden="false" customHeight="false" outlineLevel="0" collapsed="false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7" t="s">
        <v>44</v>
      </c>
      <c r="I5" s="3" t="s">
        <v>23</v>
      </c>
      <c r="J5" s="3" t="s">
        <v>45</v>
      </c>
      <c r="K5" s="3" t="s">
        <v>46</v>
      </c>
      <c r="L5" s="3" t="n">
        <v>12000</v>
      </c>
      <c r="M5" s="3" t="n">
        <v>30</v>
      </c>
      <c r="N5" s="3"/>
    </row>
    <row r="6" customFormat="false" ht="23.85" hidden="false" customHeight="false" outlineLevel="0" collapsed="false">
      <c r="A6" s="5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20</v>
      </c>
      <c r="G6" s="5" t="s">
        <v>52</v>
      </c>
      <c r="H6" s="8" t="s">
        <v>53</v>
      </c>
      <c r="I6" s="5" t="s">
        <v>54</v>
      </c>
      <c r="J6" s="5" t="s">
        <v>55</v>
      </c>
      <c r="K6" s="5" t="s">
        <v>56</v>
      </c>
      <c r="L6" s="5" t="n">
        <v>15000</v>
      </c>
      <c r="M6" s="5" t="n">
        <v>45</v>
      </c>
      <c r="N6" s="5"/>
    </row>
    <row r="7" customFormat="false" ht="23.85" hidden="false" customHeight="false" outlineLevel="0" collapsed="false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9" t="s">
        <v>64</v>
      </c>
      <c r="I7" s="3" t="s">
        <v>34</v>
      </c>
      <c r="J7" s="3" t="s">
        <v>65</v>
      </c>
      <c r="K7" s="3" t="s">
        <v>66</v>
      </c>
      <c r="L7" s="3" t="n">
        <v>18000</v>
      </c>
      <c r="M7" s="3" t="n">
        <v>60</v>
      </c>
      <c r="N7" s="3"/>
    </row>
    <row r="8" customFormat="false" ht="23.85" hidden="false" customHeight="false" outlineLevel="0" collapsed="false">
      <c r="A8" s="5" t="s">
        <v>67</v>
      </c>
      <c r="B8" s="5" t="s">
        <v>68</v>
      </c>
      <c r="C8" s="5" t="s">
        <v>69</v>
      </c>
      <c r="D8" s="5" t="s">
        <v>70</v>
      </c>
      <c r="E8" s="5" t="s">
        <v>71</v>
      </c>
      <c r="F8" s="5" t="s">
        <v>72</v>
      </c>
      <c r="G8" s="5" t="s">
        <v>73</v>
      </c>
      <c r="H8" s="10" t="s">
        <v>74</v>
      </c>
      <c r="I8" s="5" t="s">
        <v>54</v>
      </c>
      <c r="J8" s="5" t="s">
        <v>75</v>
      </c>
      <c r="K8" s="5" t="s">
        <v>76</v>
      </c>
      <c r="L8" s="5" t="n">
        <v>20000</v>
      </c>
      <c r="M8" s="5" t="n">
        <v>30</v>
      </c>
      <c r="N8" s="5"/>
    </row>
    <row r="9" customFormat="false" ht="23.85" hidden="false" customHeight="false" outlineLevel="0" collapsed="false">
      <c r="A9" s="3" t="s">
        <v>77</v>
      </c>
      <c r="B9" s="3" t="s">
        <v>78</v>
      </c>
      <c r="C9" s="3" t="s">
        <v>79</v>
      </c>
      <c r="D9" s="3" t="s">
        <v>80</v>
      </c>
      <c r="E9" s="3" t="s">
        <v>81</v>
      </c>
      <c r="F9" s="3" t="s">
        <v>3</v>
      </c>
      <c r="G9" s="3" t="s">
        <v>82</v>
      </c>
      <c r="H9" s="11" t="s">
        <v>83</v>
      </c>
      <c r="I9" s="3" t="s">
        <v>23</v>
      </c>
      <c r="J9" s="3" t="s">
        <v>84</v>
      </c>
      <c r="K9" s="3" t="s">
        <v>85</v>
      </c>
      <c r="L9" s="3" t="n">
        <v>9000</v>
      </c>
      <c r="M9" s="3" t="n">
        <v>0</v>
      </c>
      <c r="N9" s="3"/>
    </row>
    <row r="10" customFormat="false" ht="23.85" hidden="false" customHeight="false" outlineLevel="0" collapsed="false">
      <c r="A10" s="5" t="s">
        <v>86</v>
      </c>
      <c r="B10" s="5" t="s">
        <v>87</v>
      </c>
      <c r="C10" s="5" t="s">
        <v>88</v>
      </c>
      <c r="D10" s="5" t="s">
        <v>89</v>
      </c>
      <c r="E10" s="5" t="s">
        <v>19</v>
      </c>
      <c r="F10" s="5" t="s">
        <v>20</v>
      </c>
      <c r="G10" s="5" t="s">
        <v>90</v>
      </c>
      <c r="H10" s="12" t="s">
        <v>91</v>
      </c>
      <c r="I10" s="5" t="s">
        <v>54</v>
      </c>
      <c r="J10" s="5" t="s">
        <v>92</v>
      </c>
      <c r="K10" s="5" t="s">
        <v>93</v>
      </c>
      <c r="L10" s="5" t="n">
        <v>11000</v>
      </c>
      <c r="M10" s="5" t="n">
        <v>15</v>
      </c>
      <c r="N10" s="5"/>
    </row>
    <row r="11" customFormat="false" ht="23.85" hidden="false" customHeight="false" outlineLevel="0" collapsed="false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30</v>
      </c>
      <c r="F11" s="3" t="s">
        <v>31</v>
      </c>
      <c r="G11" s="3" t="s">
        <v>98</v>
      </c>
      <c r="H11" s="13" t="s">
        <v>99</v>
      </c>
      <c r="I11" s="3" t="s">
        <v>34</v>
      </c>
      <c r="J11" s="3" t="s">
        <v>100</v>
      </c>
      <c r="K11" s="3" t="s">
        <v>101</v>
      </c>
      <c r="L11" s="3" t="n">
        <v>13000</v>
      </c>
      <c r="M11" s="3" t="n">
        <v>30</v>
      </c>
      <c r="N11" s="3"/>
    </row>
    <row r="12" customFormat="false" ht="23.85" hidden="false" customHeight="false" outlineLevel="0" collapsed="false">
      <c r="A12" s="5" t="s">
        <v>102</v>
      </c>
      <c r="B12" s="5" t="s">
        <v>103</v>
      </c>
      <c r="C12" s="5" t="s">
        <v>104</v>
      </c>
      <c r="D12" s="5" t="s">
        <v>105</v>
      </c>
      <c r="E12" s="5" t="s">
        <v>41</v>
      </c>
      <c r="F12" s="5" t="s">
        <v>42</v>
      </c>
      <c r="G12" s="5" t="s">
        <v>106</v>
      </c>
      <c r="H12" s="4" t="s">
        <v>22</v>
      </c>
      <c r="I12" s="5" t="s">
        <v>23</v>
      </c>
      <c r="J12" s="5" t="s">
        <v>107</v>
      </c>
      <c r="K12" s="5" t="s">
        <v>108</v>
      </c>
      <c r="L12" s="5" t="n">
        <v>16000</v>
      </c>
      <c r="M12" s="5" t="n">
        <v>45</v>
      </c>
      <c r="N12" s="5"/>
    </row>
    <row r="13" customFormat="false" ht="23.85" hidden="false" customHeight="false" outlineLevel="0" collapsed="false">
      <c r="A13" s="3" t="s">
        <v>109</v>
      </c>
      <c r="B13" s="3" t="s">
        <v>110</v>
      </c>
      <c r="C13" s="3" t="s">
        <v>111</v>
      </c>
      <c r="D13" s="3" t="s">
        <v>112</v>
      </c>
      <c r="E13" s="3" t="s">
        <v>61</v>
      </c>
      <c r="F13" s="3" t="s">
        <v>20</v>
      </c>
      <c r="G13" s="3" t="s">
        <v>113</v>
      </c>
      <c r="H13" s="6" t="s">
        <v>33</v>
      </c>
      <c r="I13" s="3" t="s">
        <v>34</v>
      </c>
      <c r="J13" s="3" t="s">
        <v>114</v>
      </c>
      <c r="K13" s="3" t="s">
        <v>25</v>
      </c>
      <c r="L13" s="3" t="n">
        <v>8000</v>
      </c>
      <c r="M13" s="3" t="n">
        <v>0</v>
      </c>
      <c r="N13" s="3"/>
    </row>
    <row r="14" customFormat="false" ht="23.85" hidden="false" customHeight="false" outlineLevel="0" collapsed="false">
      <c r="A14" s="5" t="s">
        <v>115</v>
      </c>
      <c r="B14" s="5" t="s">
        <v>116</v>
      </c>
      <c r="C14" s="5" t="s">
        <v>117</v>
      </c>
      <c r="D14" s="5" t="s">
        <v>118</v>
      </c>
      <c r="E14" s="5" t="s">
        <v>51</v>
      </c>
      <c r="F14" s="5" t="s">
        <v>62</v>
      </c>
      <c r="G14" s="5" t="s">
        <v>119</v>
      </c>
      <c r="H14" s="7" t="s">
        <v>44</v>
      </c>
      <c r="I14" s="5" t="s">
        <v>54</v>
      </c>
      <c r="J14" s="5" t="s">
        <v>120</v>
      </c>
      <c r="K14" s="5" t="s">
        <v>36</v>
      </c>
      <c r="L14" s="5" t="n">
        <v>10000</v>
      </c>
      <c r="M14" s="5" t="n">
        <v>15</v>
      </c>
      <c r="N14" s="5"/>
    </row>
    <row r="15" customFormat="false" ht="23.85" hidden="false" customHeight="false" outlineLevel="0" collapsed="false">
      <c r="A15" s="3" t="s">
        <v>121</v>
      </c>
      <c r="B15" s="3" t="s">
        <v>122</v>
      </c>
      <c r="C15" s="3" t="s">
        <v>123</v>
      </c>
      <c r="D15" s="3" t="s">
        <v>124</v>
      </c>
      <c r="E15" s="3" t="s">
        <v>81</v>
      </c>
      <c r="F15" s="3" t="s">
        <v>72</v>
      </c>
      <c r="G15" s="3" t="s">
        <v>125</v>
      </c>
      <c r="H15" s="8" t="s">
        <v>53</v>
      </c>
      <c r="I15" s="3" t="s">
        <v>23</v>
      </c>
      <c r="J15" s="3" t="s">
        <v>126</v>
      </c>
      <c r="K15" s="3" t="s">
        <v>46</v>
      </c>
      <c r="L15" s="3" t="n">
        <v>12000</v>
      </c>
      <c r="M15" s="3" t="n">
        <v>30</v>
      </c>
      <c r="N15" s="3"/>
    </row>
    <row r="16" customFormat="false" ht="23.85" hidden="false" customHeight="false" outlineLevel="0" collapsed="false">
      <c r="A16" s="5" t="s">
        <v>127</v>
      </c>
      <c r="B16" s="5" t="s">
        <v>128</v>
      </c>
      <c r="C16" s="5" t="s">
        <v>129</v>
      </c>
      <c r="D16" s="5" t="s">
        <v>130</v>
      </c>
      <c r="E16" s="5" t="s">
        <v>71</v>
      </c>
      <c r="F16" s="5" t="s">
        <v>20</v>
      </c>
      <c r="G16" s="5" t="s">
        <v>131</v>
      </c>
      <c r="H16" s="9" t="s">
        <v>64</v>
      </c>
      <c r="I16" s="5" t="s">
        <v>54</v>
      </c>
      <c r="J16" s="5" t="s">
        <v>132</v>
      </c>
      <c r="K16" s="5" t="s">
        <v>56</v>
      </c>
      <c r="L16" s="5" t="n">
        <v>15000</v>
      </c>
      <c r="M16" s="5" t="n">
        <v>45</v>
      </c>
      <c r="N16" s="5"/>
    </row>
    <row r="17" customFormat="false" ht="23.85" hidden="false" customHeight="false" outlineLevel="0" collapsed="false">
      <c r="A17" s="3" t="s">
        <v>133</v>
      </c>
      <c r="B17" s="3" t="s">
        <v>134</v>
      </c>
      <c r="C17" s="3" t="s">
        <v>135</v>
      </c>
      <c r="D17" s="3" t="s">
        <v>136</v>
      </c>
      <c r="E17" s="3" t="s">
        <v>19</v>
      </c>
      <c r="F17" s="3" t="s">
        <v>31</v>
      </c>
      <c r="G17" s="3" t="s">
        <v>137</v>
      </c>
      <c r="H17" s="10" t="s">
        <v>74</v>
      </c>
      <c r="I17" s="3" t="s">
        <v>34</v>
      </c>
      <c r="J17" s="3" t="s">
        <v>138</v>
      </c>
      <c r="K17" s="3" t="s">
        <v>66</v>
      </c>
      <c r="L17" s="3" t="n">
        <v>18000</v>
      </c>
      <c r="M17" s="3" t="n">
        <v>60</v>
      </c>
      <c r="N17" s="3"/>
    </row>
    <row r="18" customFormat="false" ht="23.85" hidden="false" customHeight="false" outlineLevel="0" collapsed="false">
      <c r="A18" s="5" t="s">
        <v>139</v>
      </c>
      <c r="B18" s="5" t="s">
        <v>140</v>
      </c>
      <c r="C18" s="5" t="s">
        <v>141</v>
      </c>
      <c r="D18" s="5" t="s">
        <v>142</v>
      </c>
      <c r="E18" s="5" t="s">
        <v>30</v>
      </c>
      <c r="F18" s="5" t="s">
        <v>3</v>
      </c>
      <c r="G18" s="5" t="s">
        <v>143</v>
      </c>
      <c r="H18" s="12" t="s">
        <v>91</v>
      </c>
      <c r="I18" s="5" t="s">
        <v>23</v>
      </c>
      <c r="J18" s="5" t="s">
        <v>144</v>
      </c>
      <c r="K18" s="5" t="s">
        <v>76</v>
      </c>
      <c r="L18" s="5" t="n">
        <v>20000</v>
      </c>
      <c r="M18" s="5" t="n">
        <v>30</v>
      </c>
      <c r="N18" s="5"/>
    </row>
    <row r="19" customFormat="false" ht="23.85" hidden="false" customHeight="false" outlineLevel="0" collapsed="false">
      <c r="A19" s="3" t="s">
        <v>145</v>
      </c>
      <c r="B19" s="3" t="s">
        <v>146</v>
      </c>
      <c r="C19" s="3" t="s">
        <v>147</v>
      </c>
      <c r="D19" s="3" t="s">
        <v>148</v>
      </c>
      <c r="E19" s="3" t="s">
        <v>61</v>
      </c>
      <c r="F19" s="3" t="s">
        <v>42</v>
      </c>
      <c r="G19" s="3" t="s">
        <v>149</v>
      </c>
      <c r="H19" s="11" t="s">
        <v>83</v>
      </c>
      <c r="I19" s="3" t="s">
        <v>54</v>
      </c>
      <c r="J19" s="3" t="s">
        <v>150</v>
      </c>
      <c r="K19" s="3" t="s">
        <v>85</v>
      </c>
      <c r="L19" s="3" t="n">
        <v>9000</v>
      </c>
      <c r="M19" s="3" t="n">
        <v>0</v>
      </c>
      <c r="N19" s="3"/>
    </row>
    <row r="20" customFormat="false" ht="23.85" hidden="false" customHeight="false" outlineLevel="0" collapsed="false">
      <c r="A20" s="5" t="s">
        <v>151</v>
      </c>
      <c r="B20" s="5" t="s">
        <v>152</v>
      </c>
      <c r="C20" s="5" t="s">
        <v>153</v>
      </c>
      <c r="D20" s="5" t="s">
        <v>154</v>
      </c>
      <c r="E20" s="5" t="s">
        <v>41</v>
      </c>
      <c r="F20" s="5" t="s">
        <v>20</v>
      </c>
      <c r="G20" s="5" t="s">
        <v>155</v>
      </c>
      <c r="H20" s="13" t="s">
        <v>99</v>
      </c>
      <c r="I20" s="5" t="s">
        <v>34</v>
      </c>
      <c r="J20" s="5" t="s">
        <v>156</v>
      </c>
      <c r="K20" s="5" t="s">
        <v>93</v>
      </c>
      <c r="L20" s="5" t="n">
        <v>11000</v>
      </c>
      <c r="M20" s="5" t="n">
        <v>15</v>
      </c>
      <c r="N20" s="5"/>
    </row>
    <row r="21" customFormat="false" ht="23.85" hidden="false" customHeight="false" outlineLevel="0" collapsed="false">
      <c r="A21" s="3" t="s">
        <v>157</v>
      </c>
      <c r="B21" s="3" t="s">
        <v>158</v>
      </c>
      <c r="C21" s="3" t="s">
        <v>159</v>
      </c>
      <c r="D21" s="3" t="s">
        <v>160</v>
      </c>
      <c r="E21" s="3" t="s">
        <v>81</v>
      </c>
      <c r="F21" s="3" t="s">
        <v>62</v>
      </c>
      <c r="G21" s="3" t="s">
        <v>161</v>
      </c>
      <c r="H21" s="4" t="s">
        <v>22</v>
      </c>
      <c r="I21" s="3" t="s">
        <v>23</v>
      </c>
      <c r="J21" s="3" t="s">
        <v>162</v>
      </c>
      <c r="K21" s="3" t="s">
        <v>101</v>
      </c>
      <c r="L21" s="3" t="n">
        <v>13000</v>
      </c>
      <c r="M21" s="3" t="n">
        <v>30</v>
      </c>
      <c r="N21" s="3"/>
    </row>
    <row r="22" customFormat="false" ht="23.85" hidden="false" customHeight="false" outlineLevel="0" collapsed="false">
      <c r="A22" s="5" t="s">
        <v>163</v>
      </c>
      <c r="B22" s="5" t="s">
        <v>164</v>
      </c>
      <c r="C22" s="5" t="s">
        <v>165</v>
      </c>
      <c r="D22" s="5" t="s">
        <v>166</v>
      </c>
      <c r="E22" s="5" t="s">
        <v>71</v>
      </c>
      <c r="F22" s="5" t="s">
        <v>72</v>
      </c>
      <c r="G22" s="5" t="s">
        <v>167</v>
      </c>
      <c r="H22" s="12" t="s">
        <v>168</v>
      </c>
      <c r="I22" s="5" t="s">
        <v>54</v>
      </c>
      <c r="J22" s="5" t="s">
        <v>169</v>
      </c>
      <c r="K22" s="5" t="s">
        <v>108</v>
      </c>
      <c r="L22" s="5" t="n">
        <v>16000</v>
      </c>
      <c r="M22" s="5" t="n">
        <v>45</v>
      </c>
      <c r="N22" s="5"/>
    </row>
  </sheetData>
  <mergeCells count="1">
    <mergeCell ref="A1:N1"/>
  </mergeCells>
  <dataValidations count="2">
    <dataValidation allowBlank="true" errorStyle="stop" operator="between" showDropDown="false" showErrorMessage="false" showInputMessage="false" sqref="H3:H200" type="list">
      <formula1>"Applied,Phone Screened,Assignment Sent,Interview Scheduled,HR Round,Final Round,Offer Extended,Joined,Rejected,On Hold"</formula1>
      <formula2>0</formula2>
    </dataValidation>
    <dataValidation allowBlank="true" errorStyle="stop" operator="between" showDropDown="false" showErrorMessage="false" showInputMessage="false" sqref="F3:F200" type="list">
      <formula1>"LinkedIn,Internshala,Referral,Company Website,Email,Naukri,Campus Drive,Walk-In"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10" min="5" style="0" width="12"/>
  </cols>
  <sheetData>
    <row r="1" customFormat="false" ht="36" hidden="false" customHeight="true" outlineLevel="0" collapsed="false">
      <c r="A1" s="14" t="s">
        <v>170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171</v>
      </c>
      <c r="D2" s="2" t="s">
        <v>172</v>
      </c>
      <c r="E2" s="2" t="s">
        <v>83</v>
      </c>
      <c r="F2" s="2" t="s">
        <v>173</v>
      </c>
      <c r="G2" s="2" t="s">
        <v>174</v>
      </c>
      <c r="H2" s="2" t="s">
        <v>33</v>
      </c>
      <c r="I2" s="2" t="s">
        <v>175</v>
      </c>
      <c r="J2" s="2" t="s">
        <v>22</v>
      </c>
    </row>
    <row r="3" customFormat="false" ht="15" hidden="false" customHeight="false" outlineLevel="0" collapsed="false">
      <c r="A3" s="15" t="s">
        <v>15</v>
      </c>
      <c r="B3" s="15" t="s">
        <v>16</v>
      </c>
      <c r="C3" s="15" t="s">
        <v>19</v>
      </c>
      <c r="D3" s="15" t="s">
        <v>23</v>
      </c>
      <c r="E3" s="16" t="s">
        <v>176</v>
      </c>
      <c r="F3" s="16" t="s">
        <v>176</v>
      </c>
      <c r="G3" s="16" t="s">
        <v>176</v>
      </c>
      <c r="H3" s="16" t="s">
        <v>176</v>
      </c>
      <c r="I3" s="16" t="s">
        <v>176</v>
      </c>
      <c r="J3" s="16" t="s">
        <v>176</v>
      </c>
    </row>
    <row r="4" customFormat="false" ht="15" hidden="false" customHeight="false" outlineLevel="0" collapsed="false">
      <c r="A4" s="17" t="s">
        <v>26</v>
      </c>
      <c r="B4" s="17" t="s">
        <v>27</v>
      </c>
      <c r="C4" s="17" t="s">
        <v>30</v>
      </c>
      <c r="D4" s="17" t="s">
        <v>34</v>
      </c>
      <c r="E4" s="16" t="s">
        <v>176</v>
      </c>
      <c r="F4" s="16" t="s">
        <v>176</v>
      </c>
      <c r="G4" s="16" t="s">
        <v>176</v>
      </c>
      <c r="H4" s="16" t="s">
        <v>176</v>
      </c>
      <c r="I4" s="17"/>
      <c r="J4" s="17"/>
    </row>
    <row r="5" customFormat="false" ht="15" hidden="false" customHeight="false" outlineLevel="0" collapsed="false">
      <c r="A5" s="15" t="s">
        <v>37</v>
      </c>
      <c r="B5" s="15" t="s">
        <v>38</v>
      </c>
      <c r="C5" s="15" t="s">
        <v>41</v>
      </c>
      <c r="D5" s="15" t="s">
        <v>23</v>
      </c>
      <c r="E5" s="16" t="s">
        <v>176</v>
      </c>
      <c r="F5" s="16" t="s">
        <v>176</v>
      </c>
      <c r="G5" s="16" t="s">
        <v>176</v>
      </c>
      <c r="H5" s="16" t="s">
        <v>176</v>
      </c>
      <c r="I5" s="16" t="s">
        <v>176</v>
      </c>
      <c r="J5" s="15"/>
    </row>
    <row r="6" customFormat="false" ht="15" hidden="false" customHeight="false" outlineLevel="0" collapsed="false">
      <c r="A6" s="17" t="s">
        <v>47</v>
      </c>
      <c r="B6" s="17" t="s">
        <v>48</v>
      </c>
      <c r="C6" s="17" t="s">
        <v>51</v>
      </c>
      <c r="D6" s="17" t="s">
        <v>54</v>
      </c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15" t="s">
        <v>57</v>
      </c>
      <c r="B7" s="15" t="s">
        <v>58</v>
      </c>
      <c r="C7" s="15" t="s">
        <v>61</v>
      </c>
      <c r="D7" s="15" t="s">
        <v>34</v>
      </c>
      <c r="E7" s="16" t="s">
        <v>176</v>
      </c>
      <c r="F7" s="16" t="s">
        <v>176</v>
      </c>
      <c r="G7" s="16" t="s">
        <v>176</v>
      </c>
      <c r="H7" s="16" t="s">
        <v>176</v>
      </c>
      <c r="I7" s="15"/>
      <c r="J7" s="15"/>
    </row>
    <row r="8" customFormat="false" ht="15" hidden="false" customHeight="false" outlineLevel="0" collapsed="false">
      <c r="A8" s="17" t="s">
        <v>67</v>
      </c>
      <c r="B8" s="17" t="s">
        <v>68</v>
      </c>
      <c r="C8" s="17" t="s">
        <v>71</v>
      </c>
      <c r="D8" s="17" t="s">
        <v>54</v>
      </c>
      <c r="E8" s="16" t="s">
        <v>176</v>
      </c>
      <c r="F8" s="16" t="s">
        <v>176</v>
      </c>
      <c r="G8" s="16" t="s">
        <v>176</v>
      </c>
      <c r="H8" s="17"/>
      <c r="I8" s="17"/>
      <c r="J8" s="17"/>
    </row>
    <row r="9" customFormat="false" ht="15" hidden="false" customHeight="false" outlineLevel="0" collapsed="false">
      <c r="A9" s="15" t="s">
        <v>77</v>
      </c>
      <c r="B9" s="15" t="s">
        <v>78</v>
      </c>
      <c r="C9" s="15" t="s">
        <v>81</v>
      </c>
      <c r="D9" s="15" t="s">
        <v>23</v>
      </c>
      <c r="E9" s="16" t="s">
        <v>176</v>
      </c>
      <c r="F9" s="15"/>
      <c r="G9" s="15"/>
      <c r="H9" s="15"/>
      <c r="I9" s="15"/>
      <c r="J9" s="15"/>
    </row>
    <row r="10" customFormat="false" ht="15" hidden="false" customHeight="false" outlineLevel="0" collapsed="false">
      <c r="A10" s="17" t="s">
        <v>86</v>
      </c>
      <c r="B10" s="17" t="s">
        <v>87</v>
      </c>
      <c r="C10" s="17" t="s">
        <v>19</v>
      </c>
      <c r="D10" s="17" t="s">
        <v>54</v>
      </c>
      <c r="E10" s="16" t="s">
        <v>176</v>
      </c>
      <c r="F10" s="16" t="s">
        <v>176</v>
      </c>
      <c r="G10" s="17"/>
      <c r="H10" s="17"/>
      <c r="I10" s="17"/>
      <c r="J10" s="17"/>
    </row>
    <row r="11" customFormat="false" ht="15" hidden="false" customHeight="false" outlineLevel="0" collapsed="false">
      <c r="A11" s="15" t="s">
        <v>94</v>
      </c>
      <c r="B11" s="15" t="s">
        <v>95</v>
      </c>
      <c r="C11" s="15" t="s">
        <v>30</v>
      </c>
      <c r="D11" s="15" t="s">
        <v>34</v>
      </c>
      <c r="E11" s="16" t="s">
        <v>176</v>
      </c>
      <c r="F11" s="16" t="s">
        <v>176</v>
      </c>
      <c r="G11" s="15"/>
      <c r="H11" s="15"/>
      <c r="I11" s="15"/>
      <c r="J11" s="15"/>
    </row>
    <row r="12" customFormat="false" ht="15" hidden="false" customHeight="false" outlineLevel="0" collapsed="false">
      <c r="A12" s="17" t="s">
        <v>102</v>
      </c>
      <c r="B12" s="17" t="s">
        <v>103</v>
      </c>
      <c r="C12" s="17" t="s">
        <v>41</v>
      </c>
      <c r="D12" s="17" t="s">
        <v>23</v>
      </c>
      <c r="E12" s="16" t="s">
        <v>176</v>
      </c>
      <c r="F12" s="16" t="s">
        <v>176</v>
      </c>
      <c r="G12" s="16" t="s">
        <v>176</v>
      </c>
      <c r="H12" s="16" t="s">
        <v>176</v>
      </c>
      <c r="I12" s="16" t="s">
        <v>176</v>
      </c>
      <c r="J12" s="16" t="s">
        <v>176</v>
      </c>
    </row>
    <row r="13" customFormat="false" ht="15" hidden="false" customHeight="false" outlineLevel="0" collapsed="false">
      <c r="A13" s="15" t="s">
        <v>109</v>
      </c>
      <c r="B13" s="15" t="s">
        <v>110</v>
      </c>
      <c r="C13" s="15" t="s">
        <v>61</v>
      </c>
      <c r="D13" s="15" t="s">
        <v>34</v>
      </c>
      <c r="E13" s="16" t="s">
        <v>176</v>
      </c>
      <c r="F13" s="16" t="s">
        <v>176</v>
      </c>
      <c r="G13" s="16" t="s">
        <v>176</v>
      </c>
      <c r="H13" s="16" t="s">
        <v>176</v>
      </c>
      <c r="I13" s="15"/>
      <c r="J13" s="15"/>
    </row>
    <row r="14" customFormat="false" ht="15" hidden="false" customHeight="false" outlineLevel="0" collapsed="false">
      <c r="A14" s="17" t="s">
        <v>115</v>
      </c>
      <c r="B14" s="17" t="s">
        <v>116</v>
      </c>
      <c r="C14" s="17" t="s">
        <v>51</v>
      </c>
      <c r="D14" s="17" t="s">
        <v>54</v>
      </c>
      <c r="E14" s="16" t="s">
        <v>176</v>
      </c>
      <c r="F14" s="16" t="s">
        <v>176</v>
      </c>
      <c r="G14" s="16" t="s">
        <v>176</v>
      </c>
      <c r="H14" s="16" t="s">
        <v>176</v>
      </c>
      <c r="I14" s="16" t="s">
        <v>176</v>
      </c>
      <c r="J14" s="17"/>
    </row>
    <row r="15" customFormat="false" ht="15" hidden="false" customHeight="false" outlineLevel="0" collapsed="false">
      <c r="A15" s="15" t="s">
        <v>121</v>
      </c>
      <c r="B15" s="15" t="s">
        <v>122</v>
      </c>
      <c r="C15" s="15" t="s">
        <v>81</v>
      </c>
      <c r="D15" s="15" t="s">
        <v>23</v>
      </c>
      <c r="E15" s="15"/>
      <c r="F15" s="15"/>
      <c r="G15" s="15"/>
      <c r="H15" s="15"/>
      <c r="I15" s="15"/>
      <c r="J15" s="15"/>
    </row>
    <row r="16" customFormat="false" ht="15" hidden="false" customHeight="false" outlineLevel="0" collapsed="false">
      <c r="A16" s="17" t="s">
        <v>127</v>
      </c>
      <c r="B16" s="17" t="s">
        <v>128</v>
      </c>
      <c r="C16" s="17" t="s">
        <v>71</v>
      </c>
      <c r="D16" s="17" t="s">
        <v>54</v>
      </c>
      <c r="E16" s="16" t="s">
        <v>176</v>
      </c>
      <c r="F16" s="16" t="s">
        <v>176</v>
      </c>
      <c r="G16" s="16" t="s">
        <v>176</v>
      </c>
      <c r="H16" s="16" t="s">
        <v>176</v>
      </c>
      <c r="I16" s="17"/>
      <c r="J16" s="17"/>
    </row>
    <row r="17" customFormat="false" ht="15" hidden="false" customHeight="false" outlineLevel="0" collapsed="false">
      <c r="A17" s="15" t="s">
        <v>133</v>
      </c>
      <c r="B17" s="15" t="s">
        <v>134</v>
      </c>
      <c r="C17" s="15" t="s">
        <v>19</v>
      </c>
      <c r="D17" s="15" t="s">
        <v>34</v>
      </c>
      <c r="E17" s="16" t="s">
        <v>176</v>
      </c>
      <c r="F17" s="16" t="s">
        <v>176</v>
      </c>
      <c r="G17" s="16" t="s">
        <v>176</v>
      </c>
      <c r="H17" s="15"/>
      <c r="I17" s="15"/>
      <c r="J17" s="15"/>
    </row>
    <row r="18" customFormat="false" ht="15" hidden="false" customHeight="false" outlineLevel="0" collapsed="false">
      <c r="A18" s="17" t="s">
        <v>139</v>
      </c>
      <c r="B18" s="17" t="s">
        <v>140</v>
      </c>
      <c r="C18" s="17" t="s">
        <v>30</v>
      </c>
      <c r="D18" s="17" t="s">
        <v>23</v>
      </c>
      <c r="E18" s="16" t="s">
        <v>176</v>
      </c>
      <c r="F18" s="16" t="s">
        <v>176</v>
      </c>
      <c r="G18" s="17"/>
      <c r="H18" s="17"/>
      <c r="I18" s="17"/>
      <c r="J18" s="17"/>
    </row>
    <row r="19" customFormat="false" ht="15" hidden="false" customHeight="false" outlineLevel="0" collapsed="false">
      <c r="A19" s="15" t="s">
        <v>145</v>
      </c>
      <c r="B19" s="15" t="s">
        <v>146</v>
      </c>
      <c r="C19" s="15" t="s">
        <v>61</v>
      </c>
      <c r="D19" s="15" t="s">
        <v>54</v>
      </c>
      <c r="E19" s="16" t="s">
        <v>176</v>
      </c>
      <c r="F19" s="15"/>
      <c r="G19" s="15"/>
      <c r="H19" s="15"/>
      <c r="I19" s="15"/>
      <c r="J19" s="15"/>
    </row>
    <row r="20" customFormat="false" ht="15" hidden="false" customHeight="false" outlineLevel="0" collapsed="false">
      <c r="A20" s="17" t="s">
        <v>151</v>
      </c>
      <c r="B20" s="17" t="s">
        <v>152</v>
      </c>
      <c r="C20" s="17" t="s">
        <v>41</v>
      </c>
      <c r="D20" s="17" t="s">
        <v>34</v>
      </c>
      <c r="E20" s="16" t="s">
        <v>176</v>
      </c>
      <c r="F20" s="16" t="s">
        <v>176</v>
      </c>
      <c r="G20" s="17"/>
      <c r="H20" s="17"/>
      <c r="I20" s="17"/>
      <c r="J20" s="17"/>
    </row>
    <row r="21" customFormat="false" ht="15" hidden="false" customHeight="false" outlineLevel="0" collapsed="false">
      <c r="A21" s="15" t="s">
        <v>157</v>
      </c>
      <c r="B21" s="15" t="s">
        <v>158</v>
      </c>
      <c r="C21" s="15" t="s">
        <v>81</v>
      </c>
      <c r="D21" s="15" t="s">
        <v>23</v>
      </c>
      <c r="E21" s="16" t="s">
        <v>176</v>
      </c>
      <c r="F21" s="16" t="s">
        <v>176</v>
      </c>
      <c r="G21" s="16" t="s">
        <v>176</v>
      </c>
      <c r="H21" s="16" t="s">
        <v>176</v>
      </c>
      <c r="I21" s="16" t="s">
        <v>176</v>
      </c>
      <c r="J21" s="16" t="s">
        <v>176</v>
      </c>
    </row>
    <row r="22" customFormat="false" ht="15" hidden="false" customHeight="false" outlineLevel="0" collapsed="false">
      <c r="A22" s="17" t="s">
        <v>163</v>
      </c>
      <c r="B22" s="17" t="s">
        <v>164</v>
      </c>
      <c r="C22" s="17" t="s">
        <v>71</v>
      </c>
      <c r="D22" s="17" t="s">
        <v>54</v>
      </c>
      <c r="E22" s="17"/>
      <c r="F22" s="17"/>
      <c r="G22" s="17"/>
      <c r="H22" s="17"/>
      <c r="I22" s="17"/>
      <c r="J22" s="1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36" hidden="false" customHeight="true" outlineLevel="0" collapsed="false">
      <c r="A1" s="18" t="s">
        <v>177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27.75" hidden="false" customHeight="true" outlineLevel="0" collapsed="false">
      <c r="A2" s="19" t="s">
        <v>178</v>
      </c>
      <c r="B2" s="19" t="s">
        <v>1</v>
      </c>
      <c r="C2" s="19" t="s">
        <v>179</v>
      </c>
      <c r="D2" s="19" t="s">
        <v>171</v>
      </c>
      <c r="E2" s="19" t="s">
        <v>180</v>
      </c>
      <c r="F2" s="19" t="s">
        <v>181</v>
      </c>
      <c r="G2" s="19" t="s">
        <v>182</v>
      </c>
      <c r="H2" s="19" t="s">
        <v>183</v>
      </c>
      <c r="I2" s="19" t="s">
        <v>184</v>
      </c>
      <c r="J2" s="19" t="s">
        <v>185</v>
      </c>
      <c r="K2" s="19" t="s">
        <v>186</v>
      </c>
    </row>
    <row r="3" customFormat="false" ht="15" hidden="false" customHeight="false" outlineLevel="0" collapsed="false">
      <c r="A3" s="15" t="s">
        <v>187</v>
      </c>
      <c r="B3" s="15" t="s">
        <v>15</v>
      </c>
      <c r="C3" s="15" t="s">
        <v>16</v>
      </c>
      <c r="D3" s="15" t="s">
        <v>19</v>
      </c>
      <c r="E3" s="15" t="s">
        <v>52</v>
      </c>
      <c r="F3" s="15" t="s">
        <v>188</v>
      </c>
      <c r="G3" s="15" t="s">
        <v>189</v>
      </c>
      <c r="H3" s="15" t="s">
        <v>23</v>
      </c>
      <c r="I3" s="15" t="s">
        <v>190</v>
      </c>
      <c r="J3" s="20" t="s">
        <v>191</v>
      </c>
      <c r="K3" s="21" t="s">
        <v>192</v>
      </c>
    </row>
    <row r="4" customFormat="false" ht="15" hidden="false" customHeight="false" outlineLevel="0" collapsed="false">
      <c r="A4" s="17" t="s">
        <v>193</v>
      </c>
      <c r="B4" s="17" t="s">
        <v>26</v>
      </c>
      <c r="C4" s="17" t="s">
        <v>27</v>
      </c>
      <c r="D4" s="17" t="s">
        <v>30</v>
      </c>
      <c r="E4" s="17" t="s">
        <v>63</v>
      </c>
      <c r="F4" s="17" t="s">
        <v>194</v>
      </c>
      <c r="G4" s="17" t="s">
        <v>195</v>
      </c>
      <c r="H4" s="17" t="s">
        <v>34</v>
      </c>
      <c r="I4" s="17" t="s">
        <v>190</v>
      </c>
      <c r="J4" s="22" t="s">
        <v>196</v>
      </c>
      <c r="K4" s="21" t="s">
        <v>192</v>
      </c>
    </row>
    <row r="5" customFormat="false" ht="15" hidden="false" customHeight="false" outlineLevel="0" collapsed="false">
      <c r="A5" s="15" t="s">
        <v>197</v>
      </c>
      <c r="B5" s="15" t="s">
        <v>37</v>
      </c>
      <c r="C5" s="15" t="s">
        <v>38</v>
      </c>
      <c r="D5" s="15" t="s">
        <v>41</v>
      </c>
      <c r="E5" s="15" t="s">
        <v>198</v>
      </c>
      <c r="F5" s="15" t="s">
        <v>199</v>
      </c>
      <c r="G5" s="15" t="s">
        <v>189</v>
      </c>
      <c r="H5" s="15" t="s">
        <v>23</v>
      </c>
      <c r="I5" s="15" t="s">
        <v>190</v>
      </c>
      <c r="J5" s="23" t="s">
        <v>200</v>
      </c>
      <c r="K5" s="21" t="s">
        <v>192</v>
      </c>
    </row>
    <row r="6" customFormat="false" ht="15" hidden="false" customHeight="false" outlineLevel="0" collapsed="false">
      <c r="A6" s="17" t="s">
        <v>201</v>
      </c>
      <c r="B6" s="17" t="s">
        <v>47</v>
      </c>
      <c r="C6" s="17" t="s">
        <v>48</v>
      </c>
      <c r="D6" s="17" t="s">
        <v>51</v>
      </c>
      <c r="E6" s="17" t="s">
        <v>202</v>
      </c>
      <c r="F6" s="17" t="s">
        <v>203</v>
      </c>
      <c r="G6" s="17" t="s">
        <v>4</v>
      </c>
      <c r="H6" s="17" t="s">
        <v>54</v>
      </c>
      <c r="I6" s="17" t="s">
        <v>190</v>
      </c>
      <c r="J6" s="24" t="s">
        <v>204</v>
      </c>
      <c r="K6" s="25" t="s">
        <v>205</v>
      </c>
    </row>
    <row r="7" customFormat="false" ht="15" hidden="false" customHeight="false" outlineLevel="0" collapsed="false">
      <c r="A7" s="15" t="s">
        <v>206</v>
      </c>
      <c r="B7" s="15" t="s">
        <v>57</v>
      </c>
      <c r="C7" s="15" t="s">
        <v>58</v>
      </c>
      <c r="D7" s="15" t="s">
        <v>61</v>
      </c>
      <c r="E7" s="15" t="s">
        <v>90</v>
      </c>
      <c r="F7" s="15" t="s">
        <v>207</v>
      </c>
      <c r="G7" s="15" t="s">
        <v>208</v>
      </c>
      <c r="H7" s="15" t="s">
        <v>34</v>
      </c>
      <c r="I7" s="15" t="s">
        <v>190</v>
      </c>
      <c r="J7" s="20" t="s">
        <v>191</v>
      </c>
      <c r="K7" s="21" t="s">
        <v>192</v>
      </c>
    </row>
    <row r="8" customFormat="false" ht="15" hidden="false" customHeight="false" outlineLevel="0" collapsed="false">
      <c r="A8" s="17" t="s">
        <v>209</v>
      </c>
      <c r="B8" s="17" t="s">
        <v>67</v>
      </c>
      <c r="C8" s="17" t="s">
        <v>68</v>
      </c>
      <c r="D8" s="17" t="s">
        <v>71</v>
      </c>
      <c r="E8" s="17" t="s">
        <v>210</v>
      </c>
      <c r="F8" s="17" t="s">
        <v>188</v>
      </c>
      <c r="G8" s="17" t="s">
        <v>189</v>
      </c>
      <c r="H8" s="17" t="s">
        <v>54</v>
      </c>
      <c r="I8" s="17" t="s">
        <v>190</v>
      </c>
      <c r="J8" s="22" t="s">
        <v>196</v>
      </c>
      <c r="K8" s="26" t="s">
        <v>168</v>
      </c>
    </row>
    <row r="9" customFormat="false" ht="15" hidden="false" customHeight="false" outlineLevel="0" collapsed="false">
      <c r="A9" s="15" t="s">
        <v>211</v>
      </c>
      <c r="B9" s="15" t="s">
        <v>77</v>
      </c>
      <c r="C9" s="15" t="s">
        <v>103</v>
      </c>
      <c r="D9" s="15" t="s">
        <v>41</v>
      </c>
      <c r="E9" s="15" t="s">
        <v>212</v>
      </c>
      <c r="F9" s="15" t="s">
        <v>213</v>
      </c>
      <c r="G9" s="15" t="s">
        <v>189</v>
      </c>
      <c r="H9" s="15" t="s">
        <v>23</v>
      </c>
      <c r="I9" s="15" t="s">
        <v>214</v>
      </c>
      <c r="J9" s="23" t="s">
        <v>200</v>
      </c>
      <c r="K9" s="21" t="s">
        <v>192</v>
      </c>
    </row>
    <row r="10" customFormat="false" ht="15" hidden="false" customHeight="false" outlineLevel="0" collapsed="false">
      <c r="A10" s="17" t="s">
        <v>215</v>
      </c>
      <c r="B10" s="17" t="s">
        <v>86</v>
      </c>
      <c r="C10" s="17" t="s">
        <v>110</v>
      </c>
      <c r="D10" s="17" t="s">
        <v>61</v>
      </c>
      <c r="E10" s="17" t="s">
        <v>216</v>
      </c>
      <c r="F10" s="17" t="s">
        <v>217</v>
      </c>
      <c r="G10" s="17" t="s">
        <v>195</v>
      </c>
      <c r="H10" s="17" t="s">
        <v>34</v>
      </c>
      <c r="I10" s="17" t="s">
        <v>214</v>
      </c>
      <c r="J10" s="27" t="s">
        <v>191</v>
      </c>
      <c r="K10" s="21" t="s">
        <v>192</v>
      </c>
    </row>
    <row r="11" customFormat="false" ht="15" hidden="false" customHeight="false" outlineLevel="0" collapsed="false">
      <c r="A11" s="15" t="s">
        <v>218</v>
      </c>
      <c r="B11" s="15" t="s">
        <v>94</v>
      </c>
      <c r="C11" s="15" t="s">
        <v>116</v>
      </c>
      <c r="D11" s="15" t="s">
        <v>51</v>
      </c>
      <c r="E11" s="15" t="s">
        <v>125</v>
      </c>
      <c r="F11" s="15" t="s">
        <v>219</v>
      </c>
      <c r="G11" s="15" t="s">
        <v>4</v>
      </c>
      <c r="H11" s="15" t="s">
        <v>54</v>
      </c>
      <c r="I11" s="15" t="s">
        <v>190</v>
      </c>
      <c r="J11" s="20" t="s">
        <v>191</v>
      </c>
      <c r="K11" s="21" t="s">
        <v>192</v>
      </c>
    </row>
    <row r="12" customFormat="false" ht="15" hidden="false" customHeight="false" outlineLevel="0" collapsed="false">
      <c r="A12" s="17" t="s">
        <v>220</v>
      </c>
      <c r="B12" s="17" t="s">
        <v>102</v>
      </c>
      <c r="C12" s="17" t="s">
        <v>128</v>
      </c>
      <c r="D12" s="17" t="s">
        <v>71</v>
      </c>
      <c r="E12" s="17" t="s">
        <v>137</v>
      </c>
      <c r="F12" s="17" t="s">
        <v>221</v>
      </c>
      <c r="G12" s="17" t="s">
        <v>189</v>
      </c>
      <c r="H12" s="17" t="s">
        <v>54</v>
      </c>
      <c r="I12" s="17" t="s">
        <v>214</v>
      </c>
      <c r="J12" s="22" t="s">
        <v>196</v>
      </c>
      <c r="K12" s="26" t="s">
        <v>168</v>
      </c>
    </row>
    <row r="13" customFormat="false" ht="15" hidden="false" customHeight="false" outlineLevel="0" collapsed="false">
      <c r="A13" s="15" t="s">
        <v>222</v>
      </c>
      <c r="B13" s="15" t="s">
        <v>109</v>
      </c>
      <c r="C13" s="15" t="s">
        <v>134</v>
      </c>
      <c r="D13" s="15" t="s">
        <v>19</v>
      </c>
      <c r="E13" s="15" t="s">
        <v>223</v>
      </c>
      <c r="F13" s="15" t="s">
        <v>224</v>
      </c>
      <c r="G13" s="15" t="s">
        <v>195</v>
      </c>
      <c r="H13" s="15" t="s">
        <v>34</v>
      </c>
      <c r="I13" s="15" t="s">
        <v>190</v>
      </c>
      <c r="J13" s="20" t="s">
        <v>191</v>
      </c>
      <c r="K13" s="21" t="s">
        <v>192</v>
      </c>
    </row>
    <row r="14" customFormat="false" ht="15" hidden="false" customHeight="false" outlineLevel="0" collapsed="false">
      <c r="A14" s="17" t="s">
        <v>225</v>
      </c>
      <c r="B14" s="17" t="s">
        <v>115</v>
      </c>
      <c r="C14" s="17" t="s">
        <v>16</v>
      </c>
      <c r="D14" s="17" t="s">
        <v>19</v>
      </c>
      <c r="E14" s="17" t="s">
        <v>202</v>
      </c>
      <c r="F14" s="17" t="s">
        <v>226</v>
      </c>
      <c r="G14" s="17" t="s">
        <v>195</v>
      </c>
      <c r="H14" s="17" t="s">
        <v>23</v>
      </c>
      <c r="I14" s="17" t="s">
        <v>214</v>
      </c>
      <c r="J14" s="28" t="s">
        <v>200</v>
      </c>
      <c r="K14" s="21" t="s">
        <v>192</v>
      </c>
    </row>
  </sheetData>
  <mergeCells count="1">
    <mergeCell ref="A1:K1"/>
  </mergeCells>
  <dataValidations count="2">
    <dataValidation allowBlank="false" errorStyle="stop" operator="between" showDropDown="false" showErrorMessage="false" showInputMessage="false" sqref="G3:G200" type="list">
      <formula1>"Video Call,In-Person,Phone,Panel"</formula1>
      <formula2>0</formula2>
    </dataValidation>
    <dataValidation allowBlank="false" errorStyle="stop" operator="between" showDropDown="false" showErrorMessage="false" showInputMessage="false" sqref="K3:K200" type="list">
      <formula1>"Cleared,Not Cleared,On Hold,Reschedule"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36" hidden="false" customHeight="true" outlineLevel="0" collapsed="false">
      <c r="A1" s="29" t="s">
        <v>227</v>
      </c>
      <c r="B1" s="29"/>
      <c r="C1" s="29"/>
      <c r="D1" s="29"/>
      <c r="E1" s="29"/>
      <c r="F1" s="29"/>
      <c r="G1" s="29"/>
      <c r="H1" s="29"/>
    </row>
    <row r="2" customFormat="false" ht="27.75" hidden="false" customHeight="true" outlineLevel="0" collapsed="false">
      <c r="A2" s="30" t="s">
        <v>228</v>
      </c>
      <c r="B2" s="30" t="s">
        <v>229</v>
      </c>
      <c r="C2" s="30" t="s">
        <v>173</v>
      </c>
      <c r="D2" s="30" t="s">
        <v>230</v>
      </c>
      <c r="E2" s="30" t="s">
        <v>231</v>
      </c>
      <c r="F2" s="30" t="s">
        <v>22</v>
      </c>
      <c r="G2" s="30" t="s">
        <v>232</v>
      </c>
      <c r="H2" s="30" t="s">
        <v>233</v>
      </c>
    </row>
    <row r="3" customFormat="false" ht="15" hidden="false" customHeight="false" outlineLevel="0" collapsed="false">
      <c r="A3" s="31" t="s">
        <v>23</v>
      </c>
      <c r="B3" s="31" t="n">
        <v>8</v>
      </c>
      <c r="C3" s="31" t="n">
        <v>7</v>
      </c>
      <c r="D3" s="31" t="n">
        <v>6</v>
      </c>
      <c r="E3" s="31" t="n">
        <v>4</v>
      </c>
      <c r="F3" s="31" t="n">
        <v>3</v>
      </c>
      <c r="G3" s="32" t="n">
        <f aca="false">IFERROR(1-F3/B3,0)</f>
        <v>0.625</v>
      </c>
      <c r="H3" s="31" t="n">
        <v>28</v>
      </c>
    </row>
    <row r="4" customFormat="false" ht="15" hidden="false" customHeight="false" outlineLevel="0" collapsed="false">
      <c r="A4" s="33" t="s">
        <v>34</v>
      </c>
      <c r="B4" s="33" t="n">
        <v>7</v>
      </c>
      <c r="C4" s="33" t="n">
        <v>6</v>
      </c>
      <c r="D4" s="33" t="n">
        <v>5</v>
      </c>
      <c r="E4" s="33" t="n">
        <v>3</v>
      </c>
      <c r="F4" s="33" t="n">
        <v>2</v>
      </c>
      <c r="G4" s="34" t="n">
        <f aca="false">IFERROR(1-F4/B4,0)</f>
        <v>0.714285714285714</v>
      </c>
      <c r="H4" s="33" t="n">
        <v>35</v>
      </c>
    </row>
    <row r="5" customFormat="false" ht="15" hidden="false" customHeight="false" outlineLevel="0" collapsed="false">
      <c r="A5" s="31" t="s">
        <v>54</v>
      </c>
      <c r="B5" s="31" t="n">
        <v>5</v>
      </c>
      <c r="C5" s="31" t="n">
        <v>4</v>
      </c>
      <c r="D5" s="31" t="n">
        <v>3</v>
      </c>
      <c r="E5" s="31" t="n">
        <v>2</v>
      </c>
      <c r="F5" s="31" t="n">
        <v>2</v>
      </c>
      <c r="G5" s="32" t="n">
        <f aca="false">IFERROR(1-F5/B5,0)</f>
        <v>0.6</v>
      </c>
      <c r="H5" s="31" t="n">
        <v>22</v>
      </c>
    </row>
    <row r="6" customFormat="false" ht="15" hidden="false" customHeight="false" outlineLevel="0" collapsed="false">
      <c r="A6" s="35" t="s">
        <v>234</v>
      </c>
      <c r="B6" s="36" t="n">
        <f aca="false">SUM(B3:B5)</f>
        <v>20</v>
      </c>
      <c r="C6" s="36" t="n">
        <f aca="false">SUM(C3:C5)</f>
        <v>17</v>
      </c>
      <c r="D6" s="36" t="n">
        <f aca="false">SUM(D3:D5)</f>
        <v>14</v>
      </c>
      <c r="E6" s="36" t="n">
        <f aca="false">SUM(E3:E5)</f>
        <v>9</v>
      </c>
      <c r="F6" s="36" t="n">
        <f aca="false">SUM(F3:F5)</f>
        <v>7</v>
      </c>
      <c r="G6" s="37" t="n">
        <f aca="false">IFERROR(1-F6/B6,0)</f>
        <v>0.65</v>
      </c>
      <c r="H6" s="35" t="n">
        <f aca="false">AVERAGE(H3:H5)</f>
        <v>28.3333333333333</v>
      </c>
    </row>
    <row r="8" customFormat="false" ht="19.5" hidden="false" customHeight="true" outlineLevel="0" collapsed="false">
      <c r="A8" s="38" t="s">
        <v>235</v>
      </c>
      <c r="B8" s="38"/>
      <c r="C8" s="38"/>
      <c r="D8" s="38"/>
      <c r="E8" s="38"/>
      <c r="F8" s="38"/>
      <c r="G8" s="38"/>
      <c r="H8" s="38"/>
    </row>
    <row r="9" customFormat="false" ht="25.5" hidden="false" customHeight="true" outlineLevel="0" collapsed="false">
      <c r="A9" s="39" t="s">
        <v>236</v>
      </c>
      <c r="B9" s="39"/>
      <c r="C9" s="40" t="s">
        <v>237</v>
      </c>
      <c r="D9" s="40"/>
      <c r="E9" s="41" t="s">
        <v>238</v>
      </c>
      <c r="F9" s="41"/>
      <c r="G9" s="42" t="s">
        <v>239</v>
      </c>
      <c r="H9" s="42"/>
    </row>
    <row r="10" customFormat="false" ht="48" hidden="false" customHeight="true" outlineLevel="0" collapsed="false">
      <c r="A10" s="43" t="str">
        <f aca="false">'Candidate Database'!A22</f>
        <v>CAN-1020</v>
      </c>
      <c r="B10" s="43"/>
      <c r="C10" s="44" t="n">
        <f aca="false">COUNTIF('Candidate Database'!H3:H200,"Offer Extended")+COUNTIF('Candidate Database'!H3:H200,"Joined")</f>
        <v>5</v>
      </c>
      <c r="D10" s="44"/>
      <c r="E10" s="45" t="n">
        <f aca="false">COUNTIF('Candidate Database'!H3:H200,"Joined")</f>
        <v>3</v>
      </c>
      <c r="F10" s="45"/>
      <c r="G10" s="46" t="n">
        <f aca="false">IFERROR(COUNTIF('Candidate Database'!H3:H200,"Joined")/COUNTA('Candidate Database'!A3:A200),0)</f>
        <v>0.15</v>
      </c>
      <c r="H10" s="46"/>
    </row>
  </sheetData>
  <mergeCells count="10">
    <mergeCell ref="A1:H1"/>
    <mergeCell ref="A8:H8"/>
    <mergeCell ref="A9:B9"/>
    <mergeCell ref="C9:D9"/>
    <mergeCell ref="E9:F9"/>
    <mergeCell ref="G9:H9"/>
    <mergeCell ref="A10:B10"/>
    <mergeCell ref="C10:D10"/>
    <mergeCell ref="E10:F10"/>
    <mergeCell ref="G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9"/>
    <col collapsed="false" customWidth="true" hidden="false" outlineLevel="0" max="22" min="20" style="0" width="20"/>
  </cols>
  <sheetData>
    <row r="1" customFormat="false" ht="42" hidden="false" customHeight="true" outlineLevel="0" collapsed="false">
      <c r="A1" s="47" t="s">
        <v>240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T1" s="48" t="s">
        <v>241</v>
      </c>
      <c r="U1" s="48" t="s">
        <v>242</v>
      </c>
    </row>
    <row r="2" customFormat="false" ht="21.75" hidden="false" customHeight="true" outlineLevel="0" collapsed="false">
      <c r="A2" s="49" t="s">
        <v>243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T2" s="48" t="s">
        <v>83</v>
      </c>
      <c r="U2" s="48" t="n">
        <f aca="false">COUNTIF('Candidate Database'!H:H,T2)</f>
        <v>2</v>
      </c>
    </row>
    <row r="3" customFormat="false" ht="15" hidden="false" customHeight="false" outlineLevel="0" collapsed="false">
      <c r="T3" s="0" t="s">
        <v>91</v>
      </c>
      <c r="U3" s="0" t="n">
        <f aca="false">COUNTIF('Candidate Database'!H:H,T3)</f>
        <v>2</v>
      </c>
    </row>
    <row r="4" customFormat="false" ht="24" hidden="false" customHeight="true" outlineLevel="0" collapsed="false">
      <c r="A4" s="50" t="s">
        <v>244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T4" s="48" t="s">
        <v>99</v>
      </c>
      <c r="U4" s="48" t="n">
        <f aca="false">COUNTIF('Candidate Database'!H:H,T4)</f>
        <v>2</v>
      </c>
    </row>
    <row r="5" customFormat="false" ht="27.75" hidden="false" customHeight="true" outlineLevel="0" collapsed="false">
      <c r="A5" s="39" t="s">
        <v>245</v>
      </c>
      <c r="B5" s="39"/>
      <c r="C5" s="39"/>
      <c r="D5" s="51" t="s">
        <v>246</v>
      </c>
      <c r="E5" s="51"/>
      <c r="F5" s="51"/>
      <c r="G5" s="41" t="s">
        <v>231</v>
      </c>
      <c r="H5" s="41"/>
      <c r="I5" s="41"/>
      <c r="J5" s="40" t="s">
        <v>22</v>
      </c>
      <c r="K5" s="40"/>
      <c r="L5" s="40"/>
      <c r="M5" s="52" t="s">
        <v>53</v>
      </c>
      <c r="N5" s="52"/>
      <c r="O5" s="52"/>
      <c r="P5" s="53" t="s">
        <v>247</v>
      </c>
      <c r="Q5" s="53"/>
      <c r="R5" s="53"/>
      <c r="T5" s="48" t="s">
        <v>74</v>
      </c>
      <c r="U5" s="48" t="n">
        <f aca="false">COUNTIF('Candidate Database'!H:H,T5)</f>
        <v>2</v>
      </c>
    </row>
    <row r="6" customFormat="false" ht="30" hidden="false" customHeight="true" outlineLevel="0" collapsed="false">
      <c r="A6" s="54"/>
      <c r="B6" s="54"/>
      <c r="C6" s="54"/>
      <c r="D6" s="55"/>
      <c r="E6" s="55"/>
      <c r="F6" s="55"/>
      <c r="G6" s="56"/>
      <c r="H6" s="56"/>
      <c r="I6" s="56"/>
      <c r="J6" s="57"/>
      <c r="K6" s="57"/>
      <c r="L6" s="57"/>
      <c r="M6" s="58"/>
      <c r="N6" s="58"/>
      <c r="O6" s="58"/>
      <c r="P6" s="59"/>
      <c r="Q6" s="59"/>
      <c r="R6" s="59"/>
      <c r="T6" s="48" t="s">
        <v>33</v>
      </c>
      <c r="U6" s="48" t="n">
        <f aca="false">COUNTIF('Candidate Database'!H:H,T6)</f>
        <v>2</v>
      </c>
    </row>
    <row r="7" customFormat="false" ht="42" hidden="false" customHeight="true" outlineLevel="0" collapsed="false">
      <c r="A7" s="60" t="n">
        <f aca="false">COUNTA('Candidate Database'!A3:A200)</f>
        <v>20</v>
      </c>
      <c r="B7" s="60"/>
      <c r="C7" s="60"/>
      <c r="D7" s="61" t="n">
        <f aca="false">COUNTA('Interview Log'!A3:A200)</f>
        <v>12</v>
      </c>
      <c r="E7" s="61"/>
      <c r="F7" s="61"/>
      <c r="G7" s="62" t="n">
        <f aca="false">COUNTIF('Candidate Database'!H3:H200,"Offer Extended")+COUNTIF('Candidate Database'!H3:H200,"Joined")</f>
        <v>5</v>
      </c>
      <c r="H7" s="62"/>
      <c r="I7" s="62"/>
      <c r="J7" s="63" t="n">
        <f aca="false">COUNTIF('Candidate Database'!H3:H200,"Joined")</f>
        <v>3</v>
      </c>
      <c r="K7" s="63"/>
      <c r="L7" s="63"/>
      <c r="M7" s="64" t="n">
        <f aca="false">COUNTIF('Candidate Database'!H3:H200,"Rejected")</f>
        <v>2</v>
      </c>
      <c r="N7" s="64"/>
      <c r="O7" s="64"/>
      <c r="P7" s="65" t="n">
        <f aca="false">IFERROR(COUNTIF('Candidate Database'!H3:H200,"Joined")/COUNTA('Candidate Database'!A3:A200),0)</f>
        <v>0.15</v>
      </c>
      <c r="Q7" s="65"/>
      <c r="R7" s="65"/>
      <c r="T7" s="48" t="s">
        <v>64</v>
      </c>
      <c r="U7" s="48" t="n">
        <f aca="false">COUNTIF('Candidate Database'!H:H,T7)</f>
        <v>2</v>
      </c>
    </row>
    <row r="8" customFormat="false" ht="15" hidden="false" customHeight="false" outlineLevel="0" collapsed="false">
      <c r="T8" s="0" t="s">
        <v>44</v>
      </c>
      <c r="U8" s="0" t="n">
        <f aca="false">COUNTIF('Candidate Database'!H:H,T8)</f>
        <v>2</v>
      </c>
    </row>
    <row r="9" customFormat="false" ht="15.75" hidden="false" customHeight="true" outlineLevel="0" collapsed="false">
      <c r="T9" s="0" t="s">
        <v>22</v>
      </c>
      <c r="U9" s="0" t="n">
        <f aca="false">COUNTIF('Candidate Database'!H:H,T9)</f>
        <v>3</v>
      </c>
    </row>
    <row r="10" customFormat="false" ht="15" hidden="false" customHeight="false" outlineLevel="0" collapsed="false">
      <c r="T10" s="0" t="s">
        <v>53</v>
      </c>
      <c r="U10" s="0" t="n">
        <f aca="false">COUNTIF('Candidate Database'!H:H,T10)</f>
        <v>2</v>
      </c>
    </row>
    <row r="11" customFormat="false" ht="15" hidden="false" customHeight="false" outlineLevel="0" collapsed="false">
      <c r="T11" s="0" t="s">
        <v>168</v>
      </c>
      <c r="U11" s="0" t="n">
        <f aca="false">COUNTIF('Candidate Database'!H:H,T11)</f>
        <v>1</v>
      </c>
    </row>
    <row r="13" customFormat="false" ht="15" hidden="false" customHeight="false" outlineLevel="0" collapsed="false">
      <c r="T13" s="0" t="s">
        <v>6</v>
      </c>
      <c r="U13" s="0" t="s">
        <v>242</v>
      </c>
    </row>
    <row r="14" customFormat="false" ht="15" hidden="false" customHeight="false" outlineLevel="0" collapsed="false">
      <c r="T14" s="0" t="s">
        <v>20</v>
      </c>
      <c r="U14" s="0" t="n">
        <f aca="false">COUNTIF('Candidate Database'!F:F,T14)</f>
        <v>6</v>
      </c>
    </row>
    <row r="15" customFormat="false" ht="15" hidden="false" customHeight="false" outlineLevel="0" collapsed="false">
      <c r="T15" s="0" t="s">
        <v>31</v>
      </c>
      <c r="U15" s="0" t="n">
        <f aca="false">COUNTIF('Candidate Database'!F:F,T15)</f>
        <v>3</v>
      </c>
    </row>
    <row r="16" customFormat="false" ht="15" hidden="false" customHeight="false" outlineLevel="0" collapsed="false">
      <c r="T16" s="0" t="s">
        <v>42</v>
      </c>
      <c r="U16" s="0" t="n">
        <f aca="false">COUNTIF('Candidate Database'!F:F,T16)</f>
        <v>3</v>
      </c>
    </row>
    <row r="17" customFormat="false" ht="15" hidden="false" customHeight="false" outlineLevel="0" collapsed="false">
      <c r="T17" s="0" t="s">
        <v>248</v>
      </c>
      <c r="U17" s="0" t="n">
        <f aca="false">COUNTIF('Candidate Database'!F:F,T17)</f>
        <v>0</v>
      </c>
    </row>
    <row r="18" customFormat="false" ht="15" hidden="false" customHeight="false" outlineLevel="0" collapsed="false">
      <c r="T18" s="0" t="s">
        <v>3</v>
      </c>
      <c r="U18" s="0" t="n">
        <f aca="false">COUNTIF('Candidate Database'!F:F,T18)</f>
        <v>2</v>
      </c>
    </row>
    <row r="19" customFormat="false" ht="15" hidden="false" customHeight="false" outlineLevel="0" collapsed="false">
      <c r="T19" s="0" t="s">
        <v>72</v>
      </c>
      <c r="U19" s="0" t="n">
        <f aca="false">COUNTIF('Candidate Database'!F:F,T19)</f>
        <v>3</v>
      </c>
    </row>
    <row r="20" customFormat="false" ht="15" hidden="false" customHeight="false" outlineLevel="0" collapsed="false">
      <c r="T20" s="0" t="s">
        <v>62</v>
      </c>
      <c r="U20" s="0" t="n">
        <f aca="false">COUNTIF('Candidate Database'!F:F,T20)</f>
        <v>3</v>
      </c>
    </row>
    <row r="21" customFormat="false" ht="15" hidden="false" customHeight="false" outlineLevel="0" collapsed="false">
      <c r="T21" s="0" t="s">
        <v>249</v>
      </c>
      <c r="U21" s="0" t="n">
        <f aca="false">COUNTIF('Candidate Database'!F:F,T21)</f>
        <v>0</v>
      </c>
    </row>
  </sheetData>
  <mergeCells count="21">
    <mergeCell ref="A1:R1"/>
    <mergeCell ref="A2:R2"/>
    <mergeCell ref="A4:R4"/>
    <mergeCell ref="A5:C5"/>
    <mergeCell ref="D5:F5"/>
    <mergeCell ref="G5:I5"/>
    <mergeCell ref="J5:L5"/>
    <mergeCell ref="M5:O5"/>
    <mergeCell ref="P5:R5"/>
    <mergeCell ref="A6:C6"/>
    <mergeCell ref="D6:F6"/>
    <mergeCell ref="G6:I6"/>
    <mergeCell ref="J6:L6"/>
    <mergeCell ref="M6:O6"/>
    <mergeCell ref="P6:R6"/>
    <mergeCell ref="A7:C7"/>
    <mergeCell ref="D7:F7"/>
    <mergeCell ref="G7:I7"/>
    <mergeCell ref="J7:L7"/>
    <mergeCell ref="M7:O7"/>
    <mergeCell ref="P7:R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2026-06-27T19:29:20Z</dcterms:created>
  <dc:creator>openpyxl</dc:creator>
  <dc:description/>
  <dc:language>en-US</dc:language>
  <cp:lastModifiedBy/>
  <dcterms:modified xsi:type="dcterms:W3CDTF">2026-06-27T19:29:31Z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